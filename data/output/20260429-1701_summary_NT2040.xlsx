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3896" firstSheet="0" activeTab="0"/>
  </bookViews>
  <sheets>
    <sheet name="Fig. 2a" sheetId="108" state="visible" r:id="rId1"/>
    <sheet name="Fig 3.a" sheetId="106" state="visible" r:id="rId2"/>
    <sheet name="year_agg_power_data" sheetId="220" state="visible" r:id="rId3"/>
    <sheet name="year_area_power_data" sheetId="221" state="visible" r:id="rId4"/>
    <sheet name="year_agg_h2_data" sheetId="222" state="visible" r:id="rId5"/>
    <sheet name="year_area_h2_data" sheetId="223" state="visible" r:id="rId6"/>
  </sheets>
  <definedNames>
    <definedName name="_xlnm._FilterDatabase" localSheetId="4" hidden="1">year_agg_h2_data!$A$1:$Q$26</definedName>
    <definedName name="_xlnm._FilterDatabase" localSheetId="5" hidden="1">year_area_h2_data!$A$1:$U$129</definedName>
  </definedNames>
  <calcPr calcId="191029"/>
</workbook>
</file>

<file path=xl/sharedStrings.xml><?xml version="1.0" encoding="utf-8"?>
<sst xmlns="http://schemas.openxmlformats.org/spreadsheetml/2006/main" count="184" uniqueCount="184">
  <si>
    <t>study_name</t>
  </si>
  <si>
    <t>z_h2</t>
  </si>
  <si>
    <t>NUCLEAR</t>
  </si>
  <si>
    <t>COAL</t>
  </si>
  <si>
    <t>LIGNITE</t>
  </si>
  <si>
    <t>OIL</t>
  </si>
  <si>
    <t>CCGT_production</t>
  </si>
  <si>
    <t>OCGT_production</t>
  </si>
  <si>
    <t>Conventional_production</t>
  </si>
  <si>
    <t>dsr</t>
  </si>
  <si>
    <t>h2_cluster</t>
  </si>
  <si>
    <t>battery_turb</t>
  </si>
  <si>
    <t>othernonres</t>
  </si>
  <si>
    <t>h2_imports</t>
  </si>
  <si>
    <t>ccs_production</t>
  </si>
  <si>
    <t>wo_ccs_production</t>
  </si>
  <si>
    <t>ROW.BAL.</t>
  </si>
  <si>
    <t>UNSP..ENRG</t>
  </si>
  <si>
    <t>H..ROR</t>
  </si>
  <si>
    <t>WIND.OFFSHORE</t>
  </si>
  <si>
    <t>WIND.ONSHORE</t>
  </si>
  <si>
    <t>SOLAR.CONCRT.</t>
  </si>
  <si>
    <t>SOLAR.PV</t>
  </si>
  <si>
    <t>label</t>
  </si>
  <si>
    <t>Category</t>
  </si>
  <si>
    <t>Run-of-river hydro</t>
  </si>
  <si>
    <t>Offshore wind</t>
  </si>
  <si>
    <t>Onshore wind</t>
  </si>
  <si>
    <t>Concentration solar</t>
  </si>
  <si>
    <t>PV</t>
  </si>
  <si>
    <t>Nuclear</t>
  </si>
  <si>
    <t>Methane - CCGT</t>
  </si>
  <si>
    <t>Methane - OCGT</t>
  </si>
  <si>
    <t>Methane - conventional</t>
  </si>
  <si>
    <t>DSR</t>
  </si>
  <si>
    <t>Other non-RES</t>
  </si>
  <si>
    <t>Coal</t>
  </si>
  <si>
    <t>Oil</t>
  </si>
  <si>
    <t>Lignite</t>
  </si>
  <si>
    <t>Unsupplied energy</t>
  </si>
  <si>
    <t>Electrolysis</t>
  </si>
  <si>
    <t>ROW. BAL.</t>
  </si>
  <si>
    <t>Unsupplied H2</t>
  </si>
  <si>
    <t>Imports from third countries</t>
  </si>
  <si>
    <t>SPIL..ENRG</t>
  </si>
  <si>
    <t>Diff with</t>
  </si>
  <si>
    <t>Spilled energy</t>
  </si>
  <si>
    <t>LOAD</t>
  </si>
  <si>
    <t>0_battery_pump</t>
  </si>
  <si>
    <t>1_pump_closed</t>
  </si>
  <si>
    <t>1_turb_closed</t>
  </si>
  <si>
    <t>hydro_res</t>
  </si>
  <si>
    <t>2_open_turb</t>
  </si>
  <si>
    <t>2_open_pump</t>
  </si>
  <si>
    <t>MISC..NDG</t>
  </si>
  <si>
    <t>Battery</t>
  </si>
  <si>
    <t>Pumping</t>
  </si>
  <si>
    <t>Other hydro</t>
  </si>
  <si>
    <t>Load</t>
  </si>
  <si>
    <t>Non-disp. generation</t>
  </si>
  <si>
    <t>Consumption</t>
  </si>
  <si>
    <t>Blue hydrogen</t>
  </si>
  <si>
    <t>Grey hydrogen</t>
  </si>
  <si>
    <t>Coal, Oil and Lignite</t>
  </si>
  <si>
    <t>Battery discharge</t>
  </si>
  <si>
    <t>Hydrogen - CCGT</t>
  </si>
  <si>
    <t xml:space="preserve">study_name</t>
  </si>
  <si>
    <t xml:space="preserve">LOAD</t>
  </si>
  <si>
    <t xml:space="preserve">SPIL. ENRG</t>
  </si>
  <si>
    <t xml:space="preserve">z_h2</t>
  </si>
  <si>
    <t xml:space="preserve">BALANCE</t>
  </si>
  <si>
    <t xml:space="preserve">ROW BAL.</t>
  </si>
  <si>
    <t xml:space="preserve">UNSP. ENRG</t>
  </si>
  <si>
    <t xml:space="preserve">H. ROR</t>
  </si>
  <si>
    <t xml:space="preserve">WIND OFFSHORE</t>
  </si>
  <si>
    <t xml:space="preserve">WIND ONSHORE</t>
  </si>
  <si>
    <t xml:space="preserve">SOLAR CONCRT.</t>
  </si>
  <si>
    <t xml:space="preserve">SOLAR PV</t>
  </si>
  <si>
    <t xml:space="preserve">NUCLEAR</t>
  </si>
  <si>
    <t xml:space="preserve">GAS</t>
  </si>
  <si>
    <t xml:space="preserve">COAL</t>
  </si>
  <si>
    <t xml:space="preserve">LIGNITE</t>
  </si>
  <si>
    <t xml:space="preserve">OIL</t>
  </si>
  <si>
    <t xml:space="preserve">MISC. DTG</t>
  </si>
  <si>
    <t xml:space="preserve">MISC. NDG</t>
  </si>
  <si>
    <t xml:space="preserve">CO2 EMIS.</t>
  </si>
  <si>
    <t xml:space="preserve">0_battery_pump</t>
  </si>
  <si>
    <t xml:space="preserve">1_pump_closed</t>
  </si>
  <si>
    <t xml:space="preserve">1_turb_closed</t>
  </si>
  <si>
    <t xml:space="preserve">CCGT_production</t>
  </si>
  <si>
    <t xml:space="preserve">CCGT_methane_cons_TWh</t>
  </si>
  <si>
    <t xml:space="preserve">OCGT_production</t>
  </si>
  <si>
    <t xml:space="preserve">OCGT_methane_cons_TWh</t>
  </si>
  <si>
    <t xml:space="preserve">Conventional_production</t>
  </si>
  <si>
    <t xml:space="preserve">Conventional_methane_cons_TWh</t>
  </si>
  <si>
    <t xml:space="preserve">dsr</t>
  </si>
  <si>
    <t xml:space="preserve">h2_cluster</t>
  </si>
  <si>
    <t xml:space="preserve">battery_turb</t>
  </si>
  <si>
    <t xml:space="preserve">othernonres</t>
  </si>
  <si>
    <t xml:space="preserve">hydro_res</t>
  </si>
  <si>
    <t xml:space="preserve">2_open_turb</t>
  </si>
  <si>
    <t xml:space="preserve">2_open_pump</t>
  </si>
  <si>
    <t xml:space="preserve">NT2040_0</t>
  </si>
  <si>
    <t xml:space="preserve">area</t>
  </si>
  <si>
    <t xml:space="preserve">MRG. PRICE</t>
  </si>
  <si>
    <t xml:space="preserve">at00</t>
  </si>
  <si>
    <t xml:space="preserve">be00</t>
  </si>
  <si>
    <t xml:space="preserve">beof</t>
  </si>
  <si>
    <t xml:space="preserve">ch00</t>
  </si>
  <si>
    <t xml:space="preserve">cz00</t>
  </si>
  <si>
    <t xml:space="preserve">de00</t>
  </si>
  <si>
    <t xml:space="preserve">dekf</t>
  </si>
  <si>
    <t xml:space="preserve">dkbh</t>
  </si>
  <si>
    <t xml:space="preserve">dke1</t>
  </si>
  <si>
    <t xml:space="preserve">dkkf</t>
  </si>
  <si>
    <t xml:space="preserve">dkns</t>
  </si>
  <si>
    <t xml:space="preserve">dkw1</t>
  </si>
  <si>
    <t xml:space="preserve">es00</t>
  </si>
  <si>
    <t xml:space="preserve">fi00</t>
  </si>
  <si>
    <t xml:space="preserve">fr00</t>
  </si>
  <si>
    <t xml:space="preserve">ie00</t>
  </si>
  <si>
    <t xml:space="preserve">itca</t>
  </si>
  <si>
    <t xml:space="preserve">itcn</t>
  </si>
  <si>
    <t xml:space="preserve">itcs</t>
  </si>
  <si>
    <t xml:space="preserve">itn1</t>
  </si>
  <si>
    <t xml:space="preserve">its1</t>
  </si>
  <si>
    <t xml:space="preserve">itsa</t>
  </si>
  <si>
    <t xml:space="preserve">itsi</t>
  </si>
  <si>
    <t xml:space="preserve">itvi</t>
  </si>
  <si>
    <t xml:space="preserve">nl00</t>
  </si>
  <si>
    <t xml:space="preserve">nlll</t>
  </si>
  <si>
    <t xml:space="preserve">nom1</t>
  </si>
  <si>
    <t xml:space="preserve">non1</t>
  </si>
  <si>
    <t xml:space="preserve">nos0</t>
  </si>
  <si>
    <t xml:space="preserve">pl00</t>
  </si>
  <si>
    <t xml:space="preserve">pt00</t>
  </si>
  <si>
    <t xml:space="preserve">se01</t>
  </si>
  <si>
    <t xml:space="preserve">se02</t>
  </si>
  <si>
    <t xml:space="preserve">se03</t>
  </si>
  <si>
    <t xml:space="preserve">se04</t>
  </si>
  <si>
    <t xml:space="preserve">uk00</t>
  </si>
  <si>
    <t xml:space="preserve">ukni</t>
  </si>
  <si>
    <t xml:space="preserve">Other1_injection</t>
  </si>
  <si>
    <t xml:space="preserve">Other1_withdrawal</t>
  </si>
  <si>
    <t xml:space="preserve">h2_imports</t>
  </si>
  <si>
    <t xml:space="preserve">ccs_production</t>
  </si>
  <si>
    <t xml:space="preserve">ccs_emissions_Mt</t>
  </si>
  <si>
    <t xml:space="preserve">wo_ccs_production</t>
  </si>
  <si>
    <t xml:space="preserve">wo_ccs_emissions_Mt</t>
  </si>
  <si>
    <t xml:space="preserve">smr_wo_ccs_methane_TWh</t>
  </si>
  <si>
    <t xml:space="preserve">smr_ccs_methane_TWh</t>
  </si>
  <si>
    <t xml:space="preserve">h2_stor_pump</t>
  </si>
  <si>
    <t xml:space="preserve">h2_stor_turb</t>
  </si>
  <si>
    <t xml:space="preserve">at00h2</t>
  </si>
  <si>
    <t xml:space="preserve">be00h2</t>
  </si>
  <si>
    <t xml:space="preserve">ch00h2</t>
  </si>
  <si>
    <t xml:space="preserve">cz00h2</t>
  </si>
  <si>
    <t xml:space="preserve">de00h2</t>
  </si>
  <si>
    <t xml:space="preserve">dk00h2</t>
  </si>
  <si>
    <t xml:space="preserve">es00h2</t>
  </si>
  <si>
    <t xml:space="preserve">fi00h2</t>
  </si>
  <si>
    <t xml:space="preserve">fr00h2</t>
  </si>
  <si>
    <t xml:space="preserve">ie00h2</t>
  </si>
  <si>
    <t xml:space="preserve">it00h2</t>
  </si>
  <si>
    <t xml:space="preserve">nl00h2</t>
  </si>
  <si>
    <t xml:space="preserve">pl00h2</t>
  </si>
  <si>
    <t xml:space="preserve">pt00h2</t>
  </si>
  <si>
    <t xml:space="preserve">se00h2</t>
  </si>
  <si>
    <t xml:space="preserve">uk00h2</t>
  </si>
  <si>
    <t xml:space="preserve">SPIL..ENRG</t>
  </si>
  <si>
    <t xml:space="preserve">ROW.BAL.</t>
  </si>
  <si>
    <t xml:space="preserve">UNSP..ENRG</t>
  </si>
  <si>
    <t xml:space="preserve">H..ROR</t>
  </si>
  <si>
    <t xml:space="preserve">WIND.OFFSHORE</t>
  </si>
  <si>
    <t xml:space="preserve">WIND.ONSHORE</t>
  </si>
  <si>
    <t xml:space="preserve">SOLAR.CONCRT.</t>
  </si>
  <si>
    <t xml:space="preserve">SOLAR.PV</t>
  </si>
  <si>
    <t xml:space="preserve">MISC..DTG</t>
  </si>
  <si>
    <t xml:space="preserve">MISC..NDG</t>
  </si>
  <si>
    <t xml:space="preserve">CO2.EMIS.</t>
  </si>
  <si>
    <t xml:space="preserve">NT2040_1</t>
  </si>
  <si>
    <t xml:space="preserve">MRG..PRICE</t>
  </si>
  <si>
    <t xml:space="preserve">NT2040_2</t>
  </si>
  <si>
    <t xml:space="preserve">NT2040_3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</si>
</sst>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0" tint="-0.34998626667073579"/>
      <name val="Calibri"/>
      <i/>
    </font>
    <font>
      <sz val="11"/>
      <color theme="0" tint="-0.34998626667073579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top style="thin">
        <color indexed="64"/>
      </top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left style="thin">
        <color indexed="64"/>
      </left>
      <bottom style="thin">
        <color indexed="64"/>
      </bottom>
    </border>
    <border>
      <top style="thin">
        <color indexed="64"/>
      </top>
    </border>
    <border>
      <right style="thin">
        <color indexed="64"/>
      </right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3" fillId="2" borderId="7" xfId="0" applyFont="1" applyFill="1" applyBorder="1"/>
    <xf numFmtId="0" fontId="3" fillId="2" borderId="4" xfId="0" applyFont="1" applyFill="1" applyBorder="1"/>
    <xf numFmtId="0" fontId="1" fillId="0" borderId="0" xfId="0" applyFont="1"/>
    <xf numFmtId="0" fontId="4" fillId="0" borderId="0" xfId="0" applyFont="1"/>
    <xf numFmtId="164" fontId="1" fillId="0" borderId="0" xfId="0" applyFont="1" applyNumberFormat="1"/>
    <xf numFmtId="0" fontId="1" fillId="0" borderId="8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>
                <a:solidFill>
                  <a:sysClr val="windowText" lastClr="000000"/>
                </a:solidFill>
              </a:rPr>
              <a:t>Annual</a:t>
            </a:r>
            <a:r>
              <a:rPr lang="fr-FR" sz="1200" baseline="0">
                <a:solidFill>
                  <a:sysClr val="windowText" lastClr="000000"/>
                </a:solidFill>
              </a:rPr>
              <a:t> hydrogen supply</a:t>
            </a:r>
            <a:endParaRPr lang="fr-FR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771159560557499"/>
          <c:y val="2.7985509865962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'Fig. 2a'!$C$2</c:f>
              <c:strCache>
                <c:ptCount val="1"/>
                <c:pt idx="0">
                  <c:v>Electrolysis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2a'!$C$3:$C$6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8-4344-BB89-E0382229FD58}"/>
            </c:ext>
          </c:extLst>
        </c:ser>
        <c:ser>
          <c:idx val="1"/>
          <c:order val="1"/>
          <c:tx>
            <c:strRef>
              <c:f>'Fig. 2a'!$D$2</c:f>
              <c:strCache>
                <c:ptCount val="1"/>
                <c:pt idx="0">
                  <c:v>ROW. BAL.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2a'!$D$3:$D$6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8-4344-BB89-E0382229FD58}"/>
            </c:ext>
          </c:extLst>
        </c:ser>
        <c:ser>
          <c:idx val="3"/>
          <c:order val="3"/>
          <c:tx>
            <c:strRef>
              <c:f>'Fig. 2a'!$F$2</c:f>
              <c:strCache>
                <c:ptCount val="1"/>
                <c:pt idx="0">
                  <c:v>Imports from third countries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2a'!$F$3:$F$6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8-4344-BB89-E0382229FD58}"/>
            </c:ext>
          </c:extLst>
        </c:ser>
        <c:ser>
          <c:idx val="4"/>
          <c:order val="4"/>
          <c:tx>
            <c:strRef>
              <c:f>'Fig. 2a'!$G$2</c:f>
              <c:strCache>
                <c:ptCount val="1"/>
                <c:pt idx="0">
                  <c:v>Blue hydrogen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2a'!$G$3:$G$6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8-4344-BB89-E0382229FD58}"/>
            </c:ext>
          </c:extLst>
        </c:ser>
        <c:ser>
          <c:idx val="5"/>
          <c:order val="5"/>
          <c:tx>
            <c:strRef>
              <c:f>'Fig. 2a'!$H$2</c:f>
              <c:strCache>
                <c:ptCount val="1"/>
                <c:pt idx="0">
                  <c:v>Grey hydrogen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2a'!$H$3:$H$6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8-4344-BB89-E0382229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0168064"/>
        <c:axId val="70016266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'Fig. 2a'!$E$2</c15:sqref>
                        </c15:formulaRef>
                      </c:ext>
                    </c:extLst>
                    <c:strCache>
                      <c:ptCount val="1"/>
                      <c:pt idx="0">
                        <c:v>Unsupplied H2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'Fig. 2a'!$E$3:$E$6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4D8-4344-BB89-E0382229FD5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2a'!$I$2</c15:sqref>
                        </c15:formulaRef>
                      </c:ext>
                    </c:extLst>
                    <c:strCache>
                      <c:ptCount val="1"/>
                      <c:pt idx="0">
                        <c:v>Spilled energy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2a'!$I$3:$I$6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4D8-4344-BB89-E0382229FD5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2a'!$J$2</c15:sqref>
                        </c15:formulaRef>
                      </c:ext>
                    </c:extLst>
                    <c:strCache>
                      <c:ptCount val="1"/>
                      <c:pt idx="0">
                        <c:v>Consumption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2a'!$J$3:$J$6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4D8-4344-BB89-E0382229FD58}"/>
                  </c:ext>
                </c:extLst>
              </c15:ser>
            </c15:filteredBarSeries>
          </c:ext>
        </c:extLst>
      </c:barChart>
      <c:catAx>
        <c:axId val="70016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Premium level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(EUR/kgH2)</a:t>
                </a:r>
                <a:endParaRPr lang="fr-F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162664"/>
        <c:crosses val="autoZero"/>
        <c:auto val="1"/>
        <c:lblAlgn val="ctr"/>
        <c:lblOffset val="100"/>
        <c:noMultiLvlLbl val="0"/>
      </c:catAx>
      <c:valAx>
        <c:axId val="70016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TWh H2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1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>
                <a:solidFill>
                  <a:sysClr val="windowText" lastClr="000000"/>
                </a:solidFill>
              </a:rPr>
              <a:t>Change in annual electricity supply-demand matching for</a:t>
            </a:r>
            <a:r>
              <a:rPr lang="fr-FR" sz="1200" b="0" baseline="0">
                <a:solidFill>
                  <a:sysClr val="windowText" lastClr="000000"/>
                </a:solidFill>
              </a:rPr>
              <a:t> premium increments</a:t>
            </a:r>
            <a:endParaRPr lang="fr-FR" sz="1200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9.6740245953321008E-2"/>
          <c:y val="4.2365354650333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939860778272281"/>
          <c:y val="0.13699991194250521"/>
          <c:w val="0.50942610539067235"/>
          <c:h val="0.668053418262631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 3.a'!$H$36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3.a'!$H$37:$H$40</c15:sqref>
                  </c15:fullRef>
                </c:ext>
              </c:extLst>
              <c:f>'Fig 3.a'!$H$38:$H$40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5-44AC-B78B-04036AA35428}"/>
            </c:ext>
          </c:extLst>
        </c:ser>
        <c:ser>
          <c:idx val="1"/>
          <c:order val="1"/>
          <c:tx>
            <c:strRef>
              <c:f>'Fig 3.a'!$I$36</c:f>
              <c:strCache>
                <c:ptCount val="1"/>
                <c:pt idx="0">
                  <c:v>Methane - CCGT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3.a'!$I$37:$I$40</c15:sqref>
                  </c15:fullRef>
                </c:ext>
              </c:extLst>
              <c:f>'Fig 3.a'!$I$38:$I$40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5-44AC-B78B-04036AA35428}"/>
            </c:ext>
          </c:extLst>
        </c:ser>
        <c:ser>
          <c:idx val="2"/>
          <c:order val="2"/>
          <c:tx>
            <c:strRef>
              <c:f>'Fig 3.a'!$J$36</c:f>
              <c:strCache>
                <c:ptCount val="1"/>
                <c:pt idx="0">
                  <c:v>Methane - OCGT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3.a'!$J$37:$J$40</c15:sqref>
                  </c15:fullRef>
                </c:ext>
              </c:extLst>
              <c:f>'Fig 3.a'!$J$38:$J$40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E5-44AC-B78B-04036AA35428}"/>
            </c:ext>
          </c:extLst>
        </c:ser>
        <c:ser>
          <c:idx val="3"/>
          <c:order val="3"/>
          <c:tx>
            <c:strRef>
              <c:f>'Fig 3.a'!$K$36</c:f>
              <c:strCache>
                <c:ptCount val="1"/>
                <c:pt idx="0">
                  <c:v>Methane - conventional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3.a'!$K$37:$K$40</c15:sqref>
                  </c15:fullRef>
                </c:ext>
              </c:extLst>
              <c:f>'Fig 3.a'!$K$38:$K$40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E5-44AC-B78B-04036AA35428}"/>
            </c:ext>
          </c:extLst>
        </c:ser>
        <c:ser>
          <c:idx val="4"/>
          <c:order val="4"/>
          <c:tx>
            <c:strRef>
              <c:f>'Fig 3.a'!$L$36</c:f>
              <c:strCache>
                <c:ptCount val="1"/>
                <c:pt idx="0">
                  <c:v>DSR</c:v>
                </c:pt>
              </c:strCache>
            </c:strRef>
          </c:tx>
          <c:spPr>
            <a:solidFill>
              <a:srgbClr val="A66BD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3.a'!$L$37:$L$40</c15:sqref>
                  </c15:fullRef>
                </c:ext>
              </c:extLst>
              <c:f>'Fig 3.a'!$L$38:$L$40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E5-44AC-B78B-04036AA35428}"/>
            </c:ext>
          </c:extLst>
        </c:ser>
        <c:ser>
          <c:idx val="5"/>
          <c:order val="5"/>
          <c:tx>
            <c:strRef>
              <c:f>'Fig 3.a'!$M$36</c:f>
              <c:strCache>
                <c:ptCount val="1"/>
                <c:pt idx="0">
                  <c:v>Hydrogen - CCGT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3.a'!$M$37:$M$40</c15:sqref>
                  </c15:fullRef>
                </c:ext>
              </c:extLst>
              <c:f>'Fig 3.a'!$M$38:$M$40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E5-44AC-B78B-04036AA35428}"/>
            </c:ext>
          </c:extLst>
        </c:ser>
        <c:ser>
          <c:idx val="7"/>
          <c:order val="7"/>
          <c:tx>
            <c:strRef>
              <c:f>'Fig 3.a'!$O$36</c:f>
              <c:strCache>
                <c:ptCount val="1"/>
                <c:pt idx="0">
                  <c:v>Other non-RES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3.a'!$O$37:$O$40</c15:sqref>
                  </c15:fullRef>
                </c:ext>
              </c:extLst>
              <c:f>'Fig 3.a'!$O$38:$O$40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E5-44AC-B78B-04036AA35428}"/>
            </c:ext>
          </c:extLst>
        </c:ser>
        <c:ser>
          <c:idx val="8"/>
          <c:order val="8"/>
          <c:tx>
            <c:strRef>
              <c:f>'Fig 3.a'!$P$36</c:f>
              <c:strCache>
                <c:ptCount val="1"/>
                <c:pt idx="0">
                  <c:v>Coal, Oil and Lignite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3.a'!$P$37:$P$40</c15:sqref>
                  </c15:fullRef>
                </c:ext>
              </c:extLst>
              <c:f>'Fig 3.a'!$P$38:$P$40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E5-44AC-B78B-04036AA35428}"/>
            </c:ext>
          </c:extLst>
        </c:ser>
        <c:ser>
          <c:idx val="9"/>
          <c:order val="9"/>
          <c:tx>
            <c:strRef>
              <c:f>'Fig 3.a'!$Q$36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3.a'!$Q$37:$Q$40</c15:sqref>
                  </c15:fullRef>
                </c:ext>
              </c:extLst>
              <c:f>'Fig 3.a'!$Q$38:$Q$40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E5-44AC-B78B-04036AA35428}"/>
            </c:ext>
          </c:extLst>
        </c:ser>
        <c:ser>
          <c:idx val="10"/>
          <c:order val="10"/>
          <c:tx>
            <c:strRef>
              <c:f>'Fig 3.a'!$R$36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3.a'!$R$37:$R$40</c15:sqref>
                  </c15:fullRef>
                </c:ext>
              </c:extLst>
              <c:f>'Fig 3.a'!$R$38:$R$40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E5-44AC-B78B-04036AA3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686824"/>
        <c:axId val="1017691864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'Fig 3.a'!$N$36</c15:sqref>
                        </c15:formulaRef>
                      </c:ext>
                    </c:extLst>
                    <c:strCache>
                      <c:ptCount val="1"/>
                      <c:pt idx="0">
                        <c:v>Battery discharge</c:v>
                      </c:pt>
                    </c:strCache>
                  </c:strRef>
                </c:tx>
                <c:spPr>
                  <a:solidFill>
                    <a:srgbClr val="FF99FF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'Fig 3.a'!$N$37:$N$40</c15:sqref>
                        </c15:fullRef>
                        <c15:formulaRef>
                          <c15:sqref>'Fig 3.a'!$N$38:$N$40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6FE5-44AC-B78B-04036AA3542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3.a'!$S$36</c15:sqref>
                        </c15:formulaRef>
                      </c:ext>
                    </c:extLst>
                    <c:strCache>
                      <c:ptCount val="1"/>
                      <c:pt idx="0">
                        <c:v>Unsupplied energy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'Fig 3.a'!$S$37:$S$40</c15:sqref>
                        </c15:fullRef>
                        <c15:formulaRef>
                          <c15:sqref>'Fig 3.a'!$S$38:$S$40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FE5-44AC-B78B-04036AA3542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3.a'!$T$36</c15:sqref>
                        </c15:formulaRef>
                      </c:ext>
                    </c:extLst>
                    <c:strCache>
                      <c:ptCount val="1"/>
                      <c:pt idx="0">
                        <c:v>Spilled energy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'Fig 3.a'!$T$37:$T$40</c15:sqref>
                        </c15:fullRef>
                        <c15:formulaRef>
                          <c15:sqref>'Fig 3.a'!$T$38:$T$40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FE5-44AC-B78B-04036AA35428}"/>
                  </c:ext>
                </c:extLst>
              </c15:ser>
            </c15:filteredBarSeries>
          </c:ext>
        </c:extLst>
      </c:barChart>
      <c:catAx>
        <c:axId val="10176868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>
                    <a:solidFill>
                      <a:sysClr val="windowText" lastClr="000000"/>
                    </a:solidFill>
                  </a:rPr>
                  <a:t>Premium level increment (+1 EUR/kgH2)</a:t>
                </a:r>
              </a:p>
            </c:rich>
          </c:tx>
          <c:layout>
            <c:manualLayout>
              <c:xMode val="edge"/>
              <c:yMode val="edge"/>
              <c:x val="0.20390745993707307"/>
              <c:y val="0.89091459721380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017691864"/>
        <c:crosses val="autoZero"/>
        <c:auto val="1"/>
        <c:lblAlgn val="ctr"/>
        <c:lblOffset val="100"/>
        <c:noMultiLvlLbl val="0"/>
      </c:catAx>
      <c:valAx>
        <c:axId val="101769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ysClr val="windowText" lastClr="000000"/>
                    </a:solidFill>
                  </a:rPr>
                  <a:t>TWhe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68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1441450</xdr:colOff>
      <xdr:row>7</xdr:row>
      <xdr:rowOff>104140</xdr:rowOff>
    </xdr:from>
    <xdr:to>
      <xdr:col>8</xdr:col>
      <xdr:colOff>22860</xdr:colOff>
      <xdr:row>29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A6AF234-7950-F61F-73C7-E347D760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1011382</xdr:colOff>
      <xdr:row>1</xdr:row>
      <xdr:rowOff>13855</xdr:rowOff>
    </xdr:from>
    <xdr:to>
      <xdr:col>10</xdr:col>
      <xdr:colOff>18746</xdr:colOff>
      <xdr:row>22</xdr:row>
      <xdr:rowOff>41857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FA724B-FF05-4AFC-931C-5E9F25722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130924</xdr:colOff>
      <xdr:row>18</xdr:row>
      <xdr:rowOff>62088</xdr:rowOff>
    </xdr:from>
    <xdr:to>
      <xdr:col>3</xdr:col>
      <xdr:colOff>35354</xdr:colOff>
      <xdr:row>19</xdr:row>
      <xdr:rowOff>153759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104A5487-CAC7-4B9A-9526-981A795D6E79}"/>
            </a:ext>
          </a:extLst>
        </xdr:cNvPr>
        <xdr:cNvSpPr txBox="1"/>
      </xdr:nvSpPr>
      <xdr:spPr>
        <a:xfrm>
          <a:off x="2998815" y="3304052"/>
          <a:ext cx="957375" cy="271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0→1 EUR/kg</a:t>
          </a:r>
          <a:endParaRPr lang="fr-FR" sz="1050" kern="1200"/>
        </a:p>
      </xdr:txBody>
    </xdr:sp>
    <xdr:clientData/>
  </xdr:twoCellAnchor>
  <xdr:twoCellAnchor>
    <xdr:from>
      <xdr:col>5</xdr:col>
      <xdr:colOff>110915</xdr:colOff>
      <xdr:row>18</xdr:row>
      <xdr:rowOff>67803</xdr:rowOff>
    </xdr:from>
    <xdr:to>
      <xdr:col>6</xdr:col>
      <xdr:colOff>341772</xdr:colOff>
      <xdr:row>19</xdr:row>
      <xdr:rowOff>153759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ACD30E45-BCB5-4A36-A3D0-81E4A57C6401}"/>
            </a:ext>
          </a:extLst>
        </xdr:cNvPr>
        <xdr:cNvSpPr txBox="1"/>
      </xdr:nvSpPr>
      <xdr:spPr>
        <a:xfrm>
          <a:off x="5611170" y="3309767"/>
          <a:ext cx="1020566" cy="266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2→3 EUR/kg</a:t>
          </a:r>
          <a:endParaRPr lang="fr-FR" sz="1050" kern="1200"/>
        </a:p>
      </xdr:txBody>
    </xdr:sp>
    <xdr:clientData/>
  </xdr:twoCellAnchor>
  <xdr:twoCellAnchor>
    <xdr:from>
      <xdr:col>3</xdr:col>
      <xdr:colOff>472835</xdr:colOff>
      <xdr:row>18</xdr:row>
      <xdr:rowOff>48167</xdr:rowOff>
    </xdr:from>
    <xdr:to>
      <xdr:col>4</xdr:col>
      <xdr:colOff>622765</xdr:colOff>
      <xdr:row>19</xdr:row>
      <xdr:rowOff>120446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A296D4BF-E22A-463B-AADB-D4A966A384C8}"/>
            </a:ext>
          </a:extLst>
        </xdr:cNvPr>
        <xdr:cNvSpPr txBox="1"/>
      </xdr:nvSpPr>
      <xdr:spPr>
        <a:xfrm>
          <a:off x="4393671" y="3290131"/>
          <a:ext cx="939639" cy="252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1→2 EUR/kg</a:t>
          </a:r>
          <a:endParaRPr lang="fr-FR" sz="105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/>
  </sheetPr>
  <dimension ref="A1"/>
  <sheetViews>
    <sheetView tabSelected="true" zoomScaleNormal="100" workbookViewId="0">
      <selection activeCell="J27" sqref="J27"/>
    </sheetView>
  </sheetViews>
  <sheetFormatPr defaultRowHeight="15.0" baseColWidth="10"/>
  <cols>
    <col min="2" max="2" width="30.21875" hidden="0" customWidth="1"/>
    <col min="3" max="3" width="15.44140625" hidden="0" customWidth="1"/>
  </cols>
  <sheetData>
    <row r="1">
      <c r="B1" t="s">
        <v>24</v>
      </c>
      <c r="C1" t="s">
        <v>1</v>
      </c>
      <c r="D1" t="s">
        <v>16</v>
      </c>
      <c r="E1" t="s">
        <v>17</v>
      </c>
      <c r="F1" t="s">
        <v>13</v>
      </c>
      <c r="G1" t="s">
        <v>14</v>
      </c>
      <c r="H1" t="s">
        <v>15</v>
      </c>
      <c r="I1" t="s">
        <v>44</v>
      </c>
      <c r="J1" t="s">
        <v>47</v>
      </c>
    </row>
    <row r="2">
      <c r="A2" t="s">
        <v>0</v>
      </c>
      <c r="B2" t="s">
        <v>23</v>
      </c>
      <c r="C2" t="s">
        <v>40</v>
      </c>
      <c r="D2" t="s">
        <v>41</v>
      </c>
      <c r="E2" t="s">
        <v>42</v>
      </c>
      <c r="F2" t="s">
        <v>43</v>
      </c>
      <c r="G2" t="s">
        <v>61</v>
      </c>
      <c r="H2" t="s">
        <v>62</v>
      </c>
      <c r="I2" t="s">
        <v>46</v>
      </c>
      <c r="J2" t="s">
        <v>60</v>
      </c>
    </row>
    <row r="3">
      <c r="A3" t="n">
        <f>year_agg_power_data!A2</f>
        <v>0</v>
      </c>
      <c r="B3" t="n">
        <v>0</v>
      </c>
      <c r="C3" t="e">
        <f>INDEX(year_agg_h2_data!$B$2:$AD$26,MATCH($A3,year_agg_h2_data!$A$2:$A$26,0),MATCH(C$1,year_agg_h2_data!$B$1:$AD$1,0))</f>
        <v>#N/A</v>
      </c>
      <c r="D3" t="e">
        <f>INDEX(year_agg_h2_data!$B$2:$AD$26,MATCH($A3,year_agg_h2_data!$A$2:$A$26,0),MATCH(D$1,year_agg_h2_data!$B$1:$AD$1,0))</f>
        <v>#N/A</v>
      </c>
      <c r="E3" t="e">
        <f>INDEX(year_agg_h2_data!$B$2:$AD$26,MATCH($A3,year_agg_h2_data!$A$2:$A$26,0),MATCH(E$1,year_agg_h2_data!$B$1:$AD$1,0))</f>
        <v>#N/A</v>
      </c>
      <c r="F3" t="e">
        <f>INDEX(year_agg_h2_data!$B$2:$AD$26,MATCH($A3,year_agg_h2_data!$A$2:$A$26,0),MATCH(F$1,year_agg_h2_data!$B$1:$AD$1,0))</f>
        <v>#N/A</v>
      </c>
      <c r="G3" t="e">
        <f>INDEX(year_agg_h2_data!$B$2:$AD$26,MATCH($A3,year_agg_h2_data!$A$2:$A$26,0),MATCH(G$1,year_agg_h2_data!$B$1:$AD$1,0))</f>
        <v>#N/A</v>
      </c>
      <c r="H3" t="e">
        <f>INDEX(year_agg_h2_data!$B$2:$AD$26,MATCH($A3,year_agg_h2_data!$A$2:$A$26,0),MATCH(H$1,year_agg_h2_data!$B$1:$AD$1,0))</f>
        <v>#N/A</v>
      </c>
      <c r="I3" t="e">
        <f>-INDEX(year_agg_h2_data!$B$2:$AD$26,MATCH($A3,year_agg_h2_data!$A$2:$A$26,0),MATCH(I$1,year_agg_h2_data!$B$1:$AD$1,0))</f>
        <v>#N/A</v>
      </c>
      <c r="J3" t="e">
        <f>-INDEX(year_agg_h2_data!$B$2:$AD$26,MATCH($A3,year_agg_h2_data!$A$2:$A$26,0),MATCH(J$1,year_agg_h2_data!$B$1:$AD$1,0))</f>
        <v>#N/A</v>
      </c>
    </row>
    <row r="4">
      <c r="A4" t="n">
        <f>year_agg_power_data!A3</f>
        <v>0</v>
      </c>
      <c r="B4" t="n">
        <v>1</v>
      </c>
      <c r="C4" t="e">
        <f>INDEX(year_agg_h2_data!$B$2:$AD$26,MATCH($A4,year_agg_h2_data!$A$2:$A$26,0),MATCH(C$1,year_agg_h2_data!$B$1:$AD$1,0))</f>
        <v>#N/A</v>
      </c>
      <c r="D4" t="e">
        <f>INDEX(year_agg_h2_data!$B$2:$AD$26,MATCH($A4,year_agg_h2_data!$A$2:$A$26,0),MATCH(D$1,year_agg_h2_data!$B$1:$AD$1,0))</f>
        <v>#N/A</v>
      </c>
      <c r="E4" t="e">
        <f>INDEX(year_agg_h2_data!$B$2:$AD$26,MATCH($A4,year_agg_h2_data!$A$2:$A$26,0),MATCH(E$1,year_agg_h2_data!$B$1:$AD$1,0))</f>
        <v>#N/A</v>
      </c>
      <c r="F4" t="e">
        <f>INDEX(year_agg_h2_data!$B$2:$AD$26,MATCH($A4,year_agg_h2_data!$A$2:$A$26,0),MATCH(F$1,year_agg_h2_data!$B$1:$AD$1,0))</f>
        <v>#N/A</v>
      </c>
      <c r="G4" t="e">
        <f>INDEX(year_agg_h2_data!$B$2:$AD$26,MATCH($A4,year_agg_h2_data!$A$2:$A$26,0),MATCH(G$1,year_agg_h2_data!$B$1:$AD$1,0))</f>
        <v>#N/A</v>
      </c>
      <c r="H4" t="e">
        <f>INDEX(year_agg_h2_data!$B$2:$AD$26,MATCH($A4,year_agg_h2_data!$A$2:$A$26,0),MATCH(H$1,year_agg_h2_data!$B$1:$AD$1,0))</f>
        <v>#N/A</v>
      </c>
      <c r="I4" t="e">
        <f>-INDEX(year_agg_h2_data!$B$2:$AD$26,MATCH($A4,year_agg_h2_data!$A$2:$A$26,0),MATCH(I$1,year_agg_h2_data!$B$1:$AD$1,0))</f>
        <v>#N/A</v>
      </c>
      <c r="J4" t="e">
        <f>-INDEX(year_agg_h2_data!$B$2:$AD$26,MATCH($A4,year_agg_h2_data!$A$2:$A$26,0),MATCH(J$1,year_agg_h2_data!$B$1:$AD$1,0))</f>
        <v>#N/A</v>
      </c>
    </row>
    <row r="5">
      <c r="A5" t="n">
        <f>year_agg_power_data!A4</f>
        <v>0</v>
      </c>
      <c r="B5" t="n">
        <v>2</v>
      </c>
      <c r="C5" t="e">
        <f>INDEX(year_agg_h2_data!$B$2:$AD$26,MATCH($A5,year_agg_h2_data!$A$2:$A$26,0),MATCH(C$1,year_agg_h2_data!$B$1:$AD$1,0))</f>
        <v>#N/A</v>
      </c>
      <c r="D5" t="e">
        <f>INDEX(year_agg_h2_data!$B$2:$AD$26,MATCH($A5,year_agg_h2_data!$A$2:$A$26,0),MATCH(D$1,year_agg_h2_data!$B$1:$AD$1,0))</f>
        <v>#N/A</v>
      </c>
      <c r="E5" t="e">
        <f>INDEX(year_agg_h2_data!$B$2:$AD$26,MATCH($A5,year_agg_h2_data!$A$2:$A$26,0),MATCH(E$1,year_agg_h2_data!$B$1:$AD$1,0))</f>
        <v>#N/A</v>
      </c>
      <c r="F5" t="e">
        <f>INDEX(year_agg_h2_data!$B$2:$AD$26,MATCH($A5,year_agg_h2_data!$A$2:$A$26,0),MATCH(F$1,year_agg_h2_data!$B$1:$AD$1,0))</f>
        <v>#N/A</v>
      </c>
      <c r="G5" t="e">
        <f>INDEX(year_agg_h2_data!$B$2:$AD$26,MATCH($A5,year_agg_h2_data!$A$2:$A$26,0),MATCH(G$1,year_agg_h2_data!$B$1:$AD$1,0))</f>
        <v>#N/A</v>
      </c>
      <c r="H5" t="e">
        <f>INDEX(year_agg_h2_data!$B$2:$AD$26,MATCH($A5,year_agg_h2_data!$A$2:$A$26,0),MATCH(H$1,year_agg_h2_data!$B$1:$AD$1,0))</f>
        <v>#N/A</v>
      </c>
      <c r="I5" t="e">
        <f>-INDEX(year_agg_h2_data!$B$2:$AD$26,MATCH($A5,year_agg_h2_data!$A$2:$A$26,0),MATCH(I$1,year_agg_h2_data!$B$1:$AD$1,0))</f>
        <v>#N/A</v>
      </c>
      <c r="J5" t="e">
        <f>-INDEX(year_agg_h2_data!$B$2:$AD$26,MATCH($A5,year_agg_h2_data!$A$2:$A$26,0),MATCH(J$1,year_agg_h2_data!$B$1:$AD$1,0))</f>
        <v>#N/A</v>
      </c>
    </row>
    <row r="6">
      <c r="A6" t="n">
        <f>year_agg_power_data!A5</f>
        <v>0</v>
      </c>
      <c r="B6" t="n">
        <v>3</v>
      </c>
      <c r="C6" t="e">
        <f>INDEX(year_agg_h2_data!$B$2:$AD$26,MATCH($A6,year_agg_h2_data!$A$2:$A$26,0),MATCH(C$1,year_agg_h2_data!$B$1:$AD$1,0))</f>
        <v>#N/A</v>
      </c>
      <c r="D6" t="e">
        <f>INDEX(year_agg_h2_data!$B$2:$AD$26,MATCH($A6,year_agg_h2_data!$A$2:$A$26,0),MATCH(D$1,year_agg_h2_data!$B$1:$AD$1,0))</f>
        <v>#N/A</v>
      </c>
      <c r="E6" t="e">
        <f>INDEX(year_agg_h2_data!$B$2:$AD$26,MATCH($A6,year_agg_h2_data!$A$2:$A$26,0),MATCH(E$1,year_agg_h2_data!$B$1:$AD$1,0))</f>
        <v>#N/A</v>
      </c>
      <c r="F6" t="e">
        <f>INDEX(year_agg_h2_data!$B$2:$AD$26,MATCH($A6,year_agg_h2_data!$A$2:$A$26,0),MATCH(F$1,year_agg_h2_data!$B$1:$AD$1,0))</f>
        <v>#N/A</v>
      </c>
      <c r="G6" t="e">
        <f>INDEX(year_agg_h2_data!$B$2:$AD$26,MATCH($A6,year_agg_h2_data!$A$2:$A$26,0),MATCH(G$1,year_agg_h2_data!$B$1:$AD$1,0))</f>
        <v>#N/A</v>
      </c>
      <c r="H6" t="e">
        <f>INDEX(year_agg_h2_data!$B$2:$AD$26,MATCH($A6,year_agg_h2_data!$A$2:$A$26,0),MATCH(H$1,year_agg_h2_data!$B$1:$AD$1,0))</f>
        <v>#N/A</v>
      </c>
      <c r="I6" t="e">
        <f>-INDEX(year_agg_h2_data!$B$2:$AD$26,MATCH($A6,year_agg_h2_data!$A$2:$A$26,0),MATCH(I$1,year_agg_h2_data!$B$1:$AD$1,0))</f>
        <v>#N/A</v>
      </c>
      <c r="J6" t="e">
        <f>-INDEX(year_agg_h2_data!$B$2:$AD$26,MATCH($A6,year_agg_h2_data!$A$2:$A$26,0),MATCH(J$1,year_agg_h2_data!$B$1:$AD$1,0))</f>
        <v>#N/A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zoomScaleNormal="100" workbookViewId="0">
      <selection activeCell="Y29" sqref="Y29"/>
    </sheetView>
  </sheetViews>
  <sheetFormatPr defaultRowHeight="15.0" baseColWidth="10"/>
  <cols>
    <col min="2" max="2" width="30.21875" hidden="0" customWidth="1"/>
    <col min="3" max="3" width="15.44140625" hidden="0" customWidth="1"/>
  </cols>
  <sheetData>
    <row r="26">
      <c r="B26" t="s">
        <v>24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3</v>
      </c>
      <c r="Q26" t="s">
        <v>5</v>
      </c>
      <c r="R26" t="s">
        <v>4</v>
      </c>
      <c r="S26" t="s">
        <v>17</v>
      </c>
      <c r="T26" t="s">
        <v>44</v>
      </c>
      <c r="U26" t="s">
        <v>48</v>
      </c>
      <c r="V26" t="s">
        <v>53</v>
      </c>
      <c r="W26" s="2" t="s">
        <v>49</v>
      </c>
      <c r="X26" t="s">
        <v>47</v>
      </c>
      <c r="Y26" t="s">
        <v>54</v>
      </c>
      <c r="Z26" t="s">
        <v>1</v>
      </c>
      <c r="AA26" t="s">
        <v>51</v>
      </c>
      <c r="AB26" s="2" t="s">
        <v>52</v>
      </c>
      <c r="AC26" s="2" t="s">
        <v>50</v>
      </c>
    </row>
    <row r="27">
      <c r="A27" t="s">
        <v>0</v>
      </c>
      <c r="B27" t="s">
        <v>23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65</v>
      </c>
      <c r="N27" t="s">
        <v>55</v>
      </c>
      <c r="O27" t="s">
        <v>35</v>
      </c>
      <c r="P27" t="s">
        <v>36</v>
      </c>
      <c r="Q27" t="s">
        <v>37</v>
      </c>
      <c r="R27" t="s">
        <v>38</v>
      </c>
      <c r="S27" t="s">
        <v>39</v>
      </c>
      <c r="T27" t="s">
        <v>46</v>
      </c>
      <c r="U27" t="s">
        <v>55</v>
      </c>
      <c r="V27" t="s">
        <v>56</v>
      </c>
      <c r="W27" t="s">
        <v>16</v>
      </c>
      <c r="X27" t="s">
        <v>58</v>
      </c>
      <c r="Y27" t="s">
        <v>59</v>
      </c>
      <c r="Z27" t="s">
        <v>40</v>
      </c>
      <c r="AA27" t="s">
        <v>57</v>
      </c>
    </row>
    <row r="28">
      <c r="A28" t="n">
        <f>year_agg_power_data!A2</f>
        <v>0</v>
      </c>
      <c r="B28" t="e">
        <f>RIGHT(A28,LEN(A28)-9)</f>
        <v>#VALUE!</v>
      </c>
      <c r="C28" t="e">
        <f>INDEX(year_agg_power_data!$B$2:$AJ$26,MATCH($A28,year_agg_power_data!$A$2:$A$26,0),MATCH(C$26,year_agg_power_data!$B$1:$AJ$1,0))</f>
        <v>#N/A</v>
      </c>
      <c r="D28" t="e">
        <f>INDEX(year_agg_power_data!$B$2:$AJ$26,MATCH($A28,year_agg_power_data!$A$2:$A$26,0),MATCH(D$26,year_agg_power_data!$B$1:$AJ$1,0))</f>
        <v>#N/A</v>
      </c>
      <c r="E28" t="e">
        <f>INDEX(year_agg_power_data!$B$2:$AJ$26,MATCH($A28,year_agg_power_data!$A$2:$A$26,0),MATCH(E$26,year_agg_power_data!$B$1:$AJ$1,0))</f>
        <v>#N/A</v>
      </c>
      <c r="F28" t="e">
        <f>INDEX(year_agg_power_data!$B$2:$AJ$26,MATCH($A28,year_agg_power_data!$A$2:$A$26,0),MATCH(F$26,year_agg_power_data!$B$1:$AJ$1,0))</f>
        <v>#N/A</v>
      </c>
      <c r="G28" t="e">
        <f>INDEX(year_agg_power_data!$B$2:$AJ$26,MATCH($A28,year_agg_power_data!$A$2:$A$26,0),MATCH(G$26,year_agg_power_data!$B$1:$AJ$1,0))</f>
        <v>#N/A</v>
      </c>
      <c r="H28" t="e">
        <f>INDEX(year_agg_power_data!$B$2:$AJ$26,MATCH($A28,year_agg_power_data!$A$2:$A$26,0),MATCH(H$26,year_agg_power_data!$B$1:$AJ$1,0))</f>
        <v>#N/A</v>
      </c>
      <c r="I28" t="e">
        <f>INDEX(year_agg_power_data!$B$2:$AJ$26,MATCH($A28,year_agg_power_data!$A$2:$A$26,0),MATCH(I$26,year_agg_power_data!$B$1:$AJ$1,0))</f>
        <v>#N/A</v>
      </c>
      <c r="J28" t="e">
        <f>INDEX(year_agg_power_data!$B$2:$AJ$26,MATCH($A28,year_agg_power_data!$A$2:$A$26,0),MATCH(J$26,year_agg_power_data!$B$1:$AJ$1,0))</f>
        <v>#N/A</v>
      </c>
      <c r="K28" t="e">
        <f>INDEX(year_agg_power_data!$B$2:$AJ$26,MATCH($A28,year_agg_power_data!$A$2:$A$26,0),MATCH(K$26,year_agg_power_data!$B$1:$AJ$1,0))</f>
        <v>#N/A</v>
      </c>
      <c r="L28" t="e">
        <f>INDEX(year_agg_power_data!$B$2:$AJ$26,MATCH($A28,year_agg_power_data!$A$2:$A$26,0),MATCH(L$26,year_agg_power_data!$B$1:$AJ$1,0))</f>
        <v>#N/A</v>
      </c>
      <c r="M28" t="e">
        <f>INDEX(year_agg_power_data!$B$2:$AJ$26,MATCH($A28,year_agg_power_data!$A$2:$A$26,0),MATCH(M$26,year_agg_power_data!$B$1:$AJ$1,0))</f>
        <v>#N/A</v>
      </c>
      <c r="N28" t="e">
        <f>INDEX(year_agg_power_data!$B$2:$AJ$26,MATCH($A28,year_agg_power_data!$A$2:$A$26,0),MATCH(N$26,year_agg_power_data!$B$1:$AJ$1,0))</f>
        <v>#N/A</v>
      </c>
      <c r="O28" t="e">
        <f>INDEX(year_agg_power_data!$B$2:$AJ$26,MATCH($A28,year_agg_power_data!$A$2:$A$26,0),MATCH(O$26,year_agg_power_data!$B$1:$AJ$1,0))</f>
        <v>#N/A</v>
      </c>
      <c r="P28" t="e">
        <f>INDEX(year_agg_power_data!$B$2:$AJ$26,MATCH($A28,year_agg_power_data!$A$2:$A$26,0),MATCH(P$26,year_agg_power_data!$B$1:$AJ$1,0))</f>
        <v>#N/A</v>
      </c>
      <c r="Q28" t="e">
        <f>INDEX(year_agg_power_data!$B$2:$AJ$26,MATCH($A28,year_agg_power_data!$A$2:$A$26,0),MATCH(Q$26,year_agg_power_data!$B$1:$AJ$1,0))</f>
        <v>#N/A</v>
      </c>
      <c r="R28" t="e">
        <f>INDEX(year_agg_power_data!$B$2:$AJ$26,MATCH($A28,year_agg_power_data!$A$2:$A$26,0),MATCH(R$26,year_agg_power_data!$B$1:$AJ$1,0))</f>
        <v>#N/A</v>
      </c>
      <c r="S28" t="e">
        <f>INDEX(year_agg_power_data!$B$2:$AJ$26,MATCH($A28,year_agg_power_data!$A$2:$A$26,0),MATCH(S$26,year_agg_power_data!$B$1:$AJ$1,0))</f>
        <v>#N/A</v>
      </c>
      <c r="T28" t="e">
        <f>-INDEX(year_agg_power_data!$B$2:$AJ$26,MATCH($A28,year_agg_power_data!$A$2:$A$26,0),MATCH(T$26,year_agg_power_data!$B$1:$AJ$1,0))</f>
        <v>#N/A</v>
      </c>
      <c r="U28" t="e">
        <f>INDEX(year_agg_power_data!$B$2:$AJ$26,MATCH($A28,year_agg_power_data!$A$2:$A$26,0),MATCH(U$26,year_agg_power_data!$B$1:$AJ$1,0))</f>
        <v>#N/A</v>
      </c>
      <c r="V28" t="e">
        <f>INDEX(year_agg_power_data!$B$2:$AJ$26,MATCH($A28,year_agg_power_data!$A$2:$A$26,0),MATCH(W$26,year_agg_power_data!$B$1:$AJ$1,0))+INDEX(year_agg_power_data!$B$2:$AJ$26,MATCH($A28,year_agg_power_data!$A$2:$A$26,0),MATCH(V$26,year_agg_power_data!$B$1:$AJ$1,0))</f>
        <v>#N/A</v>
      </c>
      <c r="W28" t="e">
        <f>INDEX(year_agg_power_data!$B$2:$AJ$26,MATCH($A28,year_agg_power_data!$A$2:$A$26,0),MATCH(W$27,year_agg_power_data!$B$1:$AJ$1,0))</f>
        <v>#N/A</v>
      </c>
      <c r="X28" t="e">
        <f>-INDEX(year_agg_power_data!$B$2:$AJ$26,MATCH($A28,year_agg_power_data!$A$2:$A$26,0),MATCH(X$26,year_agg_power_data!$B$1:$AJ$1,0))</f>
        <v>#N/A</v>
      </c>
      <c r="Y28" t="e">
        <f>INDEX(year_agg_power_data!$B$2:$AJ$26,MATCH($A28,year_agg_power_data!$A$2:$A$26,0),MATCH(Y$26,year_agg_power_data!$B$1:$AJ$1,0))</f>
        <v>#N/A</v>
      </c>
      <c r="Z28" t="e">
        <f>-INDEX(year_agg_power_data!$B$2:$AJ$26,MATCH($A28,year_agg_power_data!$A$2:$A$26,0),MATCH(Z$26,year_agg_power_data!$B$1:$AJ$1,0))</f>
        <v>#N/A</v>
      </c>
      <c r="AA28" t="e">
        <f>INDEX(year_agg_power_data!$B$2:$AJ$26,MATCH($A28,year_agg_power_data!$A$2:$A$26,0),MATCH(AB$26,year_agg_power_data!$B$1:$AJ$1,0))+INDEX(year_agg_power_data!$B$2:$AJ$26,MATCH($A28,year_agg_power_data!$A$2:$A$26,0),MATCH(AC$26,year_agg_power_data!$B$1:$AJ$1,0))+INDEX(year_agg_power_data!$B$2:$AJ$26,MATCH($A28,year_agg_power_data!$A$2:$A$26,0),MATCH(AA$26,year_agg_power_data!$B$1:$AJ$1,0))</f>
        <v>#N/A</v>
      </c>
    </row>
    <row r="29">
      <c r="A29" t="n">
        <f>year_agg_power_data!A3</f>
        <v>0</v>
      </c>
      <c r="B29" t="e">
        <f t="shared" ref="B29:B31" si="0">RIGHT(A29,LEN(A29)-9)</f>
        <v>#VALUE!</v>
      </c>
      <c r="C29" t="e">
        <f>INDEX(year_agg_power_data!$B$2:$AJ$26,MATCH($A29,year_agg_power_data!$A$2:$A$26,0),MATCH(C$26,year_agg_power_data!$B$1:$AJ$1,0))</f>
        <v>#N/A</v>
      </c>
      <c r="D29" t="e">
        <f>INDEX(year_agg_power_data!$B$2:$AJ$26,MATCH($A29,year_agg_power_data!$A$2:$A$26,0),MATCH(D$26,year_agg_power_data!$B$1:$AJ$1,0))</f>
        <v>#N/A</v>
      </c>
      <c r="E29" t="e">
        <f>INDEX(year_agg_power_data!$B$2:$AJ$26,MATCH($A29,year_agg_power_data!$A$2:$A$26,0),MATCH(E$26,year_agg_power_data!$B$1:$AJ$1,0))</f>
        <v>#N/A</v>
      </c>
      <c r="F29" t="e">
        <f>INDEX(year_agg_power_data!$B$2:$AJ$26,MATCH($A29,year_agg_power_data!$A$2:$A$26,0),MATCH(F$26,year_agg_power_data!$B$1:$AJ$1,0))</f>
        <v>#N/A</v>
      </c>
      <c r="G29" t="e">
        <f>INDEX(year_agg_power_data!$B$2:$AJ$26,MATCH($A29,year_agg_power_data!$A$2:$A$26,0),MATCH(G$26,year_agg_power_data!$B$1:$AJ$1,0))</f>
        <v>#N/A</v>
      </c>
      <c r="H29" t="e">
        <f>INDEX(year_agg_power_data!$B$2:$AJ$26,MATCH($A29,year_agg_power_data!$A$2:$A$26,0),MATCH(H$26,year_agg_power_data!$B$1:$AJ$1,0))</f>
        <v>#N/A</v>
      </c>
      <c r="I29" t="e">
        <f>INDEX(year_agg_power_data!$B$2:$AJ$26,MATCH($A29,year_agg_power_data!$A$2:$A$26,0),MATCH(I$26,year_agg_power_data!$B$1:$AJ$1,0))</f>
        <v>#N/A</v>
      </c>
      <c r="J29" t="e">
        <f>INDEX(year_agg_power_data!$B$2:$AJ$26,MATCH($A29,year_agg_power_data!$A$2:$A$26,0),MATCH(J$26,year_agg_power_data!$B$1:$AJ$1,0))</f>
        <v>#N/A</v>
      </c>
      <c r="K29" t="e">
        <f>INDEX(year_agg_power_data!$B$2:$AJ$26,MATCH($A29,year_agg_power_data!$A$2:$A$26,0),MATCH(K$26,year_agg_power_data!$B$1:$AJ$1,0))</f>
        <v>#N/A</v>
      </c>
      <c r="L29" t="e">
        <f>INDEX(year_agg_power_data!$B$2:$AJ$26,MATCH($A29,year_agg_power_data!$A$2:$A$26,0),MATCH(L$26,year_agg_power_data!$B$1:$AJ$1,0))</f>
        <v>#N/A</v>
      </c>
      <c r="M29" t="e">
        <f>INDEX(year_agg_power_data!$B$2:$AJ$26,MATCH($A29,year_agg_power_data!$A$2:$A$26,0),MATCH(M$26,year_agg_power_data!$B$1:$AJ$1,0))</f>
        <v>#N/A</v>
      </c>
      <c r="N29" t="e">
        <f>INDEX(year_agg_power_data!$B$2:$AJ$26,MATCH($A29,year_agg_power_data!$A$2:$A$26,0),MATCH(N$26,year_agg_power_data!$B$1:$AJ$1,0))</f>
        <v>#N/A</v>
      </c>
      <c r="O29" t="e">
        <f>INDEX(year_agg_power_data!$B$2:$AJ$26,MATCH($A29,year_agg_power_data!$A$2:$A$26,0),MATCH(O$26,year_agg_power_data!$B$1:$AJ$1,0))</f>
        <v>#N/A</v>
      </c>
      <c r="P29" t="e">
        <f>INDEX(year_agg_power_data!$B$2:$AJ$26,MATCH($A29,year_agg_power_data!$A$2:$A$26,0),MATCH(P$26,year_agg_power_data!$B$1:$AJ$1,0))</f>
        <v>#N/A</v>
      </c>
      <c r="Q29" t="e">
        <f>INDEX(year_agg_power_data!$B$2:$AJ$26,MATCH($A29,year_agg_power_data!$A$2:$A$26,0),MATCH(Q$26,year_agg_power_data!$B$1:$AJ$1,0))</f>
        <v>#N/A</v>
      </c>
      <c r="R29" t="e">
        <f>INDEX(year_agg_power_data!$B$2:$AJ$26,MATCH($A29,year_agg_power_data!$A$2:$A$26,0),MATCH(R$26,year_agg_power_data!$B$1:$AJ$1,0))</f>
        <v>#N/A</v>
      </c>
      <c r="S29" t="e">
        <f>INDEX(year_agg_power_data!$B$2:$AJ$26,MATCH($A29,year_agg_power_data!$A$2:$A$26,0),MATCH(S$26,year_agg_power_data!$B$1:$AJ$1,0))</f>
        <v>#N/A</v>
      </c>
      <c r="T29" t="e">
        <f>-INDEX(year_agg_power_data!$B$2:$AJ$26,MATCH($A29,year_agg_power_data!$A$2:$A$26,0),MATCH(T$26,year_agg_power_data!$B$1:$AJ$1,0))</f>
        <v>#N/A</v>
      </c>
      <c r="U29" t="e">
        <f>INDEX(year_agg_power_data!$B$2:$AJ$26,MATCH($A29,year_agg_power_data!$A$2:$A$26,0),MATCH(U$26,year_agg_power_data!$B$1:$AJ$1,0))</f>
        <v>#N/A</v>
      </c>
      <c r="V29" t="e">
        <f>INDEX(year_agg_power_data!$B$2:$AJ$26,MATCH($A29,year_agg_power_data!$A$2:$A$26,0),MATCH(W$26,year_agg_power_data!$B$1:$AJ$1,0))+INDEX(year_agg_power_data!$B$2:$AJ$26,MATCH($A29,year_agg_power_data!$A$2:$A$26,0),MATCH(V$26,year_agg_power_data!$B$1:$AJ$1,0))</f>
        <v>#N/A</v>
      </c>
      <c r="W29" t="e">
        <f>INDEX(year_agg_power_data!$B$2:$AJ$26,MATCH($A29,year_agg_power_data!$A$2:$A$26,0),MATCH(W$27,year_agg_power_data!$B$1:$AJ$1,0))</f>
        <v>#N/A</v>
      </c>
      <c r="X29" t="e">
        <f>-INDEX(year_agg_power_data!$B$2:$AJ$26,MATCH($A29,year_agg_power_data!$A$2:$A$26,0),MATCH(X$26,year_agg_power_data!$B$1:$AJ$1,0))</f>
        <v>#N/A</v>
      </c>
      <c r="Y29" t="e">
        <f>INDEX(year_agg_power_data!$B$2:$AJ$26,MATCH($A29,year_agg_power_data!$A$2:$A$26,0),MATCH(Y$26,year_agg_power_data!$B$1:$AJ$1,0))</f>
        <v>#N/A</v>
      </c>
      <c r="Z29" t="e">
        <f>-INDEX(year_agg_power_data!$B$2:$AJ$26,MATCH($A29,year_agg_power_data!$A$2:$A$26,0),MATCH(Z$26,year_agg_power_data!$B$1:$AJ$1,0))</f>
        <v>#N/A</v>
      </c>
      <c r="AA29" t="e">
        <f>INDEX(year_agg_power_data!$B$2:$AJ$26,MATCH($A29,year_agg_power_data!$A$2:$A$26,0),MATCH(AB$26,year_agg_power_data!$B$1:$AJ$1,0))+INDEX(year_agg_power_data!$B$2:$AJ$26,MATCH($A29,year_agg_power_data!$A$2:$A$26,0),MATCH(AC$26,year_agg_power_data!$B$1:$AJ$1,0))+INDEX(year_agg_power_data!$B$2:$AJ$26,MATCH($A29,year_agg_power_data!$A$2:$A$26,0),MATCH(AA$26,year_agg_power_data!$B$1:$AJ$1,0))</f>
        <v>#N/A</v>
      </c>
    </row>
    <row r="30">
      <c r="A30" t="n">
        <f>year_agg_power_data!A4</f>
        <v>0</v>
      </c>
      <c r="B30" t="e">
        <f t="shared" si="0"/>
        <v>#VALUE!</v>
      </c>
      <c r="C30" t="e">
        <f>INDEX(year_agg_power_data!$B$2:$AJ$26,MATCH($A30,year_agg_power_data!$A$2:$A$26,0),MATCH(C$26,year_agg_power_data!$B$1:$AJ$1,0))</f>
        <v>#N/A</v>
      </c>
      <c r="D30" t="e">
        <f>INDEX(year_agg_power_data!$B$2:$AJ$26,MATCH($A30,year_agg_power_data!$A$2:$A$26,0),MATCH(D$26,year_agg_power_data!$B$1:$AJ$1,0))</f>
        <v>#N/A</v>
      </c>
      <c r="E30" t="e">
        <f>INDEX(year_agg_power_data!$B$2:$AJ$26,MATCH($A30,year_agg_power_data!$A$2:$A$26,0),MATCH(E$26,year_agg_power_data!$B$1:$AJ$1,0))</f>
        <v>#N/A</v>
      </c>
      <c r="F30" t="e">
        <f>INDEX(year_agg_power_data!$B$2:$AJ$26,MATCH($A30,year_agg_power_data!$A$2:$A$26,0),MATCH(F$26,year_agg_power_data!$B$1:$AJ$1,0))</f>
        <v>#N/A</v>
      </c>
      <c r="G30" t="e">
        <f>INDEX(year_agg_power_data!$B$2:$AJ$26,MATCH($A30,year_agg_power_data!$A$2:$A$26,0),MATCH(G$26,year_agg_power_data!$B$1:$AJ$1,0))</f>
        <v>#N/A</v>
      </c>
      <c r="H30" t="e">
        <f>INDEX(year_agg_power_data!$B$2:$AJ$26,MATCH($A30,year_agg_power_data!$A$2:$A$26,0),MATCH(H$26,year_agg_power_data!$B$1:$AJ$1,0))</f>
        <v>#N/A</v>
      </c>
      <c r="I30" t="e">
        <f>INDEX(year_agg_power_data!$B$2:$AJ$26,MATCH($A30,year_agg_power_data!$A$2:$A$26,0),MATCH(I$26,year_agg_power_data!$B$1:$AJ$1,0))</f>
        <v>#N/A</v>
      </c>
      <c r="J30" t="e">
        <f>INDEX(year_agg_power_data!$B$2:$AJ$26,MATCH($A30,year_agg_power_data!$A$2:$A$26,0),MATCH(J$26,year_agg_power_data!$B$1:$AJ$1,0))</f>
        <v>#N/A</v>
      </c>
      <c r="K30" t="e">
        <f>INDEX(year_agg_power_data!$B$2:$AJ$26,MATCH($A30,year_agg_power_data!$A$2:$A$26,0),MATCH(K$26,year_agg_power_data!$B$1:$AJ$1,0))</f>
        <v>#N/A</v>
      </c>
      <c r="L30" t="e">
        <f>INDEX(year_agg_power_data!$B$2:$AJ$26,MATCH($A30,year_agg_power_data!$A$2:$A$26,0),MATCH(L$26,year_agg_power_data!$B$1:$AJ$1,0))</f>
        <v>#N/A</v>
      </c>
      <c r="M30" t="e">
        <f>INDEX(year_agg_power_data!$B$2:$AJ$26,MATCH($A30,year_agg_power_data!$A$2:$A$26,0),MATCH(M$26,year_agg_power_data!$B$1:$AJ$1,0))</f>
        <v>#N/A</v>
      </c>
      <c r="N30" t="e">
        <f>INDEX(year_agg_power_data!$B$2:$AJ$26,MATCH($A30,year_agg_power_data!$A$2:$A$26,0),MATCH(N$26,year_agg_power_data!$B$1:$AJ$1,0))</f>
        <v>#N/A</v>
      </c>
      <c r="O30" t="e">
        <f>INDEX(year_agg_power_data!$B$2:$AJ$26,MATCH($A30,year_agg_power_data!$A$2:$A$26,0),MATCH(O$26,year_agg_power_data!$B$1:$AJ$1,0))</f>
        <v>#N/A</v>
      </c>
      <c r="P30" t="e">
        <f>INDEX(year_agg_power_data!$B$2:$AJ$26,MATCH($A30,year_agg_power_data!$A$2:$A$26,0),MATCH(P$26,year_agg_power_data!$B$1:$AJ$1,0))</f>
        <v>#N/A</v>
      </c>
      <c r="Q30" t="e">
        <f>INDEX(year_agg_power_data!$B$2:$AJ$26,MATCH($A30,year_agg_power_data!$A$2:$A$26,0),MATCH(Q$26,year_agg_power_data!$B$1:$AJ$1,0))</f>
        <v>#N/A</v>
      </c>
      <c r="R30" t="e">
        <f>INDEX(year_agg_power_data!$B$2:$AJ$26,MATCH($A30,year_agg_power_data!$A$2:$A$26,0),MATCH(R$26,year_agg_power_data!$B$1:$AJ$1,0))</f>
        <v>#N/A</v>
      </c>
      <c r="S30" t="e">
        <f>INDEX(year_agg_power_data!$B$2:$AJ$26,MATCH($A30,year_agg_power_data!$A$2:$A$26,0),MATCH(S$26,year_agg_power_data!$B$1:$AJ$1,0))</f>
        <v>#N/A</v>
      </c>
      <c r="T30" t="e">
        <f>-INDEX(year_agg_power_data!$B$2:$AJ$26,MATCH($A30,year_agg_power_data!$A$2:$A$26,0),MATCH(T$26,year_agg_power_data!$B$1:$AJ$1,0))</f>
        <v>#N/A</v>
      </c>
      <c r="U30" t="e">
        <f>INDEX(year_agg_power_data!$B$2:$AJ$26,MATCH($A30,year_agg_power_data!$A$2:$A$26,0),MATCH(U$26,year_agg_power_data!$B$1:$AJ$1,0))</f>
        <v>#N/A</v>
      </c>
      <c r="V30" t="e">
        <f>INDEX(year_agg_power_data!$B$2:$AJ$26,MATCH($A30,year_agg_power_data!$A$2:$A$26,0),MATCH(W$26,year_agg_power_data!$B$1:$AJ$1,0))+INDEX(year_agg_power_data!$B$2:$AJ$26,MATCH($A30,year_agg_power_data!$A$2:$A$26,0),MATCH(V$26,year_agg_power_data!$B$1:$AJ$1,0))</f>
        <v>#N/A</v>
      </c>
      <c r="W30" t="e">
        <f>INDEX(year_agg_power_data!$B$2:$AJ$26,MATCH($A30,year_agg_power_data!$A$2:$A$26,0),MATCH(W$27,year_agg_power_data!$B$1:$AJ$1,0))</f>
        <v>#N/A</v>
      </c>
      <c r="X30" t="e">
        <f>-INDEX(year_agg_power_data!$B$2:$AJ$26,MATCH($A30,year_agg_power_data!$A$2:$A$26,0),MATCH(X$26,year_agg_power_data!$B$1:$AJ$1,0))</f>
        <v>#N/A</v>
      </c>
      <c r="Y30" t="e">
        <f>INDEX(year_agg_power_data!$B$2:$AJ$26,MATCH($A30,year_agg_power_data!$A$2:$A$26,0),MATCH(Y$26,year_agg_power_data!$B$1:$AJ$1,0))</f>
        <v>#N/A</v>
      </c>
      <c r="Z30" t="e">
        <f>-INDEX(year_agg_power_data!$B$2:$AJ$26,MATCH($A30,year_agg_power_data!$A$2:$A$26,0),MATCH(Z$26,year_agg_power_data!$B$1:$AJ$1,0))</f>
        <v>#N/A</v>
      </c>
      <c r="AA30" t="e">
        <f>INDEX(year_agg_power_data!$B$2:$AJ$26,MATCH($A30,year_agg_power_data!$A$2:$A$26,0),MATCH(AB$26,year_agg_power_data!$B$1:$AJ$1,0))+INDEX(year_agg_power_data!$B$2:$AJ$26,MATCH($A30,year_agg_power_data!$A$2:$A$26,0),MATCH(AC$26,year_agg_power_data!$B$1:$AJ$1,0))+INDEX(year_agg_power_data!$B$2:$AJ$26,MATCH($A30,year_agg_power_data!$A$2:$A$26,0),MATCH(AA$26,year_agg_power_data!$B$1:$AJ$1,0))</f>
        <v>#N/A</v>
      </c>
    </row>
    <row r="31">
      <c r="A31" t="n">
        <f>year_agg_power_data!A5</f>
        <v>0</v>
      </c>
      <c r="B31" t="e">
        <f t="shared" si="0"/>
        <v>#VALUE!</v>
      </c>
      <c r="C31" t="e">
        <f>INDEX(year_agg_power_data!$B$2:$AJ$26,MATCH($A31,year_agg_power_data!$A$2:$A$26,0),MATCH(C$26,year_agg_power_data!$B$1:$AJ$1,0))</f>
        <v>#N/A</v>
      </c>
      <c r="D31" t="e">
        <f>INDEX(year_agg_power_data!$B$2:$AJ$26,MATCH($A31,year_agg_power_data!$A$2:$A$26,0),MATCH(D$26,year_agg_power_data!$B$1:$AJ$1,0))</f>
        <v>#N/A</v>
      </c>
      <c r="E31" s="14" t="e">
        <f>INDEX(year_agg_power_data!$B$2:$AJ$26,MATCH($A31,year_agg_power_data!$A$2:$A$26,0),MATCH(E$26,year_agg_power_data!$B$1:$AJ$1,0))</f>
        <v>#N/A</v>
      </c>
      <c r="F31" t="e">
        <f>INDEX(year_agg_power_data!$B$2:$AJ$26,MATCH($A31,year_agg_power_data!$A$2:$A$26,0),MATCH(F$26,year_agg_power_data!$B$1:$AJ$1,0))</f>
        <v>#N/A</v>
      </c>
      <c r="G31" t="e">
        <f>INDEX(year_agg_power_data!$B$2:$AJ$26,MATCH($A31,year_agg_power_data!$A$2:$A$26,0),MATCH(G$26,year_agg_power_data!$B$1:$AJ$1,0))</f>
        <v>#N/A</v>
      </c>
      <c r="H31" t="e">
        <f>INDEX(year_agg_power_data!$B$2:$AJ$26,MATCH($A31,year_agg_power_data!$A$2:$A$26,0),MATCH(H$26,year_agg_power_data!$B$1:$AJ$1,0))</f>
        <v>#N/A</v>
      </c>
      <c r="I31" t="e">
        <f>INDEX(year_agg_power_data!$B$2:$AJ$26,MATCH($A31,year_agg_power_data!$A$2:$A$26,0),MATCH(I$26,year_agg_power_data!$B$1:$AJ$1,0))</f>
        <v>#N/A</v>
      </c>
      <c r="J31" t="e">
        <f>INDEX(year_agg_power_data!$B$2:$AJ$26,MATCH($A31,year_agg_power_data!$A$2:$A$26,0),MATCH(J$26,year_agg_power_data!$B$1:$AJ$1,0))</f>
        <v>#N/A</v>
      </c>
      <c r="K31" t="e">
        <f>INDEX(year_agg_power_data!$B$2:$AJ$26,MATCH($A31,year_agg_power_data!$A$2:$A$26,0),MATCH(K$26,year_agg_power_data!$B$1:$AJ$1,0))</f>
        <v>#N/A</v>
      </c>
      <c r="L31" t="e">
        <f>INDEX(year_agg_power_data!$B$2:$AJ$26,MATCH($A31,year_agg_power_data!$A$2:$A$26,0),MATCH(L$26,year_agg_power_data!$B$1:$AJ$1,0))</f>
        <v>#N/A</v>
      </c>
      <c r="M31" t="e">
        <f>INDEX(year_agg_power_data!$B$2:$AJ$26,MATCH($A31,year_agg_power_data!$A$2:$A$26,0),MATCH(M$26,year_agg_power_data!$B$1:$AJ$1,0))</f>
        <v>#N/A</v>
      </c>
      <c r="N31" t="e">
        <f>INDEX(year_agg_power_data!$B$2:$AJ$26,MATCH($A31,year_agg_power_data!$A$2:$A$26,0),MATCH(N$26,year_agg_power_data!$B$1:$AJ$1,0))</f>
        <v>#N/A</v>
      </c>
      <c r="O31" t="e">
        <f>INDEX(year_agg_power_data!$B$2:$AJ$26,MATCH($A31,year_agg_power_data!$A$2:$A$26,0),MATCH(O$26,year_agg_power_data!$B$1:$AJ$1,0))</f>
        <v>#N/A</v>
      </c>
      <c r="P31" t="e">
        <f>INDEX(year_agg_power_data!$B$2:$AJ$26,MATCH($A31,year_agg_power_data!$A$2:$A$26,0),MATCH(P$26,year_agg_power_data!$B$1:$AJ$1,0))</f>
        <v>#N/A</v>
      </c>
      <c r="Q31" t="e">
        <f>INDEX(year_agg_power_data!$B$2:$AJ$26,MATCH($A31,year_agg_power_data!$A$2:$A$26,0),MATCH(Q$26,year_agg_power_data!$B$1:$AJ$1,0))</f>
        <v>#N/A</v>
      </c>
      <c r="R31" t="e">
        <f>INDEX(year_agg_power_data!$B$2:$AJ$26,MATCH($A31,year_agg_power_data!$A$2:$A$26,0),MATCH(R$26,year_agg_power_data!$B$1:$AJ$1,0))</f>
        <v>#N/A</v>
      </c>
      <c r="S31" t="e">
        <f>INDEX(year_agg_power_data!$B$2:$AJ$26,MATCH($A31,year_agg_power_data!$A$2:$A$26,0),MATCH(S$26,year_agg_power_data!$B$1:$AJ$1,0))</f>
        <v>#N/A</v>
      </c>
      <c r="T31" t="e">
        <f>-INDEX(year_agg_power_data!$B$2:$AJ$26,MATCH($A31,year_agg_power_data!$A$2:$A$26,0),MATCH(T$26,year_agg_power_data!$B$1:$AJ$1,0))</f>
        <v>#N/A</v>
      </c>
      <c r="U31" t="e">
        <f>INDEX(year_agg_power_data!$B$2:$AJ$26,MATCH($A31,year_agg_power_data!$A$2:$A$26,0),MATCH(U$26,year_agg_power_data!$B$1:$AJ$1,0))</f>
        <v>#N/A</v>
      </c>
      <c r="V31" t="e">
        <f>INDEX(year_agg_power_data!$B$2:$AJ$26,MATCH($A31,year_agg_power_data!$A$2:$A$26,0),MATCH(W$26,year_agg_power_data!$B$1:$AJ$1,0))+INDEX(year_agg_power_data!$B$2:$AJ$26,MATCH($A31,year_agg_power_data!$A$2:$A$26,0),MATCH(V$26,year_agg_power_data!$B$1:$AJ$1,0))</f>
        <v>#N/A</v>
      </c>
      <c r="W31" t="e">
        <f>INDEX(year_agg_power_data!$B$2:$AJ$26,MATCH($A31,year_agg_power_data!$A$2:$A$26,0),MATCH(W$27,year_agg_power_data!$B$1:$AJ$1,0))</f>
        <v>#N/A</v>
      </c>
      <c r="X31" t="e">
        <f>-INDEX(year_agg_power_data!$B$2:$AJ$26,MATCH($A31,year_agg_power_data!$A$2:$A$26,0),MATCH(X$26,year_agg_power_data!$B$1:$AJ$1,0))</f>
        <v>#N/A</v>
      </c>
      <c r="Y31" t="e">
        <f>INDEX(year_agg_power_data!$B$2:$AJ$26,MATCH($A31,year_agg_power_data!$A$2:$A$26,0),MATCH(Y$26,year_agg_power_data!$B$1:$AJ$1,0))</f>
        <v>#N/A</v>
      </c>
      <c r="Z31" t="e">
        <f>-INDEX(year_agg_power_data!$B$2:$AJ$26,MATCH($A31,year_agg_power_data!$A$2:$A$26,0),MATCH(Z$26,year_agg_power_data!$B$1:$AJ$1,0))</f>
        <v>#N/A</v>
      </c>
      <c r="AA31" t="e">
        <f>INDEX(year_agg_power_data!$B$2:$AJ$26,MATCH($A31,year_agg_power_data!$A$2:$A$26,0),MATCH(AB$26,year_agg_power_data!$B$1:$AJ$1,0))+INDEX(year_agg_power_data!$B$2:$AJ$26,MATCH($A31,year_agg_power_data!$A$2:$A$26,0),MATCH(AC$26,year_agg_power_data!$B$1:$AJ$1,0))+INDEX(year_agg_power_data!$B$2:$AJ$26,MATCH($A31,year_agg_power_data!$A$2:$A$26,0),MATCH(AA$26,year_agg_power_data!$B$1:$AJ$1,0))</f>
        <v>#N/A</v>
      </c>
    </row>
    <row r="34">
      <c r="B34" t="s">
        <v>45</v>
      </c>
      <c r="C34" t="n">
        <f>A28</f>
        <v>0</v>
      </c>
    </row>
    <row r="35">
      <c r="A35" s="1"/>
      <c r="B35" s="5" t="s">
        <v>24</v>
      </c>
      <c r="C35" s="9" t="str">
        <f t="shared" ref="C35:T35" si="1">C26</f>
        <v>H..ROR</v>
      </c>
      <c r="D35" s="9" t="str">
        <f t="shared" si="1"/>
        <v>WIND.OFFSHORE</v>
      </c>
      <c r="E35" s="9" t="str">
        <f t="shared" si="1"/>
        <v>WIND.ONSHORE</v>
      </c>
      <c r="F35" s="9" t="str">
        <f t="shared" si="1"/>
        <v>SOLAR.CONCRT.</v>
      </c>
      <c r="G35" s="9" t="str">
        <f t="shared" si="1"/>
        <v>SOLAR.PV</v>
      </c>
      <c r="H35" s="9" t="str">
        <f t="shared" si="1"/>
        <v>NUCLEAR</v>
      </c>
      <c r="I35" s="9" t="str">
        <f t="shared" si="1"/>
        <v>CCGT_production</v>
      </c>
      <c r="J35" s="9" t="str">
        <f t="shared" si="1"/>
        <v>OCGT_production</v>
      </c>
      <c r="K35" s="9" t="str">
        <f t="shared" si="1"/>
        <v>Conventional_production</v>
      </c>
      <c r="L35" s="9" t="str">
        <f t="shared" si="1"/>
        <v>dsr</v>
      </c>
      <c r="M35" s="9" t="str">
        <f t="shared" si="1"/>
        <v>h2_cluster</v>
      </c>
      <c r="N35" s="9" t="str">
        <f t="shared" si="1"/>
        <v>battery_turb</v>
      </c>
      <c r="O35" s="5" t="str">
        <f t="shared" si="1"/>
        <v>othernonres</v>
      </c>
      <c r="P35" s="5" t="str">
        <f t="shared" si="1"/>
        <v>COAL</v>
      </c>
      <c r="Q35" s="5" t="str">
        <f t="shared" si="1"/>
        <v>OIL</v>
      </c>
      <c r="R35" s="5" t="str">
        <f t="shared" si="1"/>
        <v>LIGNITE</v>
      </c>
      <c r="S35" s="5" t="str">
        <f t="shared" si="1"/>
        <v>UNSP..ENRG</v>
      </c>
      <c r="T35" s="5" t="str">
        <f t="shared" si="1"/>
        <v>SPIL..ENRG</v>
      </c>
    </row>
    <row r="36">
      <c r="A36" s="16" t="s">
        <v>0</v>
      </c>
      <c r="B36" s="4" t="s">
        <v>23</v>
      </c>
      <c r="C36" s="3" t="str">
        <f t="shared" ref="C36:M36" si="2">C27</f>
        <v>Run-of-river hydro</v>
      </c>
      <c r="D36" s="3" t="str">
        <f t="shared" si="2"/>
        <v>Offshore wind</v>
      </c>
      <c r="E36" s="3" t="str">
        <f t="shared" si="2"/>
        <v>Onshore wind</v>
      </c>
      <c r="F36" s="3" t="str">
        <f t="shared" si="2"/>
        <v>Concentration solar</v>
      </c>
      <c r="G36" s="3" t="str">
        <f t="shared" si="2"/>
        <v>PV</v>
      </c>
      <c r="H36" s="3" t="str">
        <f t="shared" si="2"/>
        <v>Nuclear</v>
      </c>
      <c r="I36" s="3" t="str">
        <f t="shared" si="2"/>
        <v>Methane - CCGT</v>
      </c>
      <c r="J36" s="3" t="str">
        <f t="shared" si="2"/>
        <v>Methane - OCGT</v>
      </c>
      <c r="K36" s="3" t="str">
        <f t="shared" si="2"/>
        <v>Methane - conventional</v>
      </c>
      <c r="L36" s="3" t="str">
        <f t="shared" si="2"/>
        <v>DSR</v>
      </c>
      <c r="M36" s="3" t="str">
        <f t="shared" si="2"/>
        <v>Hydrogen - CCGT</v>
      </c>
      <c r="N36" s="3" t="s">
        <v>64</v>
      </c>
      <c r="O36" s="4" t="str">
        <f>O27</f>
        <v>Other non-RES</v>
      </c>
      <c r="P36" s="4" t="s">
        <v>63</v>
      </c>
      <c r="Q36" s="4" t="str">
        <f>Q27</f>
        <v>Oil</v>
      </c>
      <c r="R36" s="4" t="str">
        <f>R27</f>
        <v>Lignite</v>
      </c>
      <c r="S36" s="4" t="str">
        <f>S27</f>
        <v>Unsupplied energy</v>
      </c>
      <c r="T36" s="4" t="str">
        <f>T27</f>
        <v>Spilled energy</v>
      </c>
    </row>
    <row r="37">
      <c r="A37" s="6"/>
      <c r="B37" s="5" t="n">
        <v>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  <c r="P37" s="11"/>
      <c r="Q37" s="11"/>
      <c r="R37" s="11"/>
      <c r="S37" s="11"/>
      <c r="T37" s="11"/>
    </row>
    <row r="38">
      <c r="A38" s="7"/>
      <c r="B38" s="15" t="n">
        <v>1</v>
      </c>
      <c r="C38" s="12" t="e">
        <f t="shared" ref="C38:G40" si="3">C29-C$28</f>
        <v>#N/A</v>
      </c>
      <c r="D38" s="12" t="e">
        <f t="shared" si="3"/>
        <v>#N/A</v>
      </c>
      <c r="E38" s="12" t="e">
        <f t="shared" si="3"/>
        <v>#N/A</v>
      </c>
      <c r="F38" s="12" t="e">
        <f t="shared" si="3"/>
        <v>#N/A</v>
      </c>
      <c r="G38" s="12" t="e">
        <f t="shared" si="3"/>
        <v>#N/A</v>
      </c>
      <c r="H38" s="12" t="e">
        <f t="shared" ref="H38:T38" si="4">H29-H28</f>
        <v>#N/A</v>
      </c>
      <c r="I38" s="12" t="e">
        <f t="shared" si="4"/>
        <v>#N/A</v>
      </c>
      <c r="J38" s="12" t="e">
        <f t="shared" si="4"/>
        <v>#N/A</v>
      </c>
      <c r="K38" s="12" t="e">
        <f t="shared" si="4"/>
        <v>#N/A</v>
      </c>
      <c r="L38" s="12" t="e">
        <f t="shared" si="4"/>
        <v>#N/A</v>
      </c>
      <c r="M38" s="12" t="e">
        <f t="shared" si="4"/>
        <v>#N/A</v>
      </c>
      <c r="N38" s="12" t="e">
        <f t="shared" si="4"/>
        <v>#N/A</v>
      </c>
      <c r="O38" s="12" t="e">
        <f t="shared" si="4"/>
        <v>#N/A</v>
      </c>
      <c r="P38" s="12" t="e">
        <f t="shared" si="4"/>
        <v>#N/A</v>
      </c>
      <c r="Q38" s="12" t="e">
        <f t="shared" si="4"/>
        <v>#N/A</v>
      </c>
      <c r="R38" s="12" t="e">
        <f t="shared" si="4"/>
        <v>#N/A</v>
      </c>
      <c r="S38" s="12" t="e">
        <f t="shared" si="4"/>
        <v>#N/A</v>
      </c>
      <c r="T38" s="12" t="e">
        <f t="shared" si="4"/>
        <v>#N/A</v>
      </c>
    </row>
    <row r="39">
      <c r="A39" s="7"/>
      <c r="B39" s="15" t="n">
        <v>2</v>
      </c>
      <c r="C39" s="12" t="e">
        <f t="shared" si="3"/>
        <v>#N/A</v>
      </c>
      <c r="D39" s="12" t="e">
        <f t="shared" si="3"/>
        <v>#N/A</v>
      </c>
      <c r="E39" s="12" t="e">
        <f t="shared" si="3"/>
        <v>#N/A</v>
      </c>
      <c r="F39" s="12" t="e">
        <f t="shared" si="3"/>
        <v>#N/A</v>
      </c>
      <c r="G39" s="12" t="e">
        <f t="shared" si="3"/>
        <v>#N/A</v>
      </c>
      <c r="H39" s="12" t="e">
        <f t="shared" ref="H39:T39" si="5">H30-H29</f>
        <v>#N/A</v>
      </c>
      <c r="I39" s="12" t="e">
        <f t="shared" si="5"/>
        <v>#N/A</v>
      </c>
      <c r="J39" s="12" t="e">
        <f t="shared" si="5"/>
        <v>#N/A</v>
      </c>
      <c r="K39" s="12" t="e">
        <f t="shared" si="5"/>
        <v>#N/A</v>
      </c>
      <c r="L39" s="12" t="e">
        <f t="shared" si="5"/>
        <v>#N/A</v>
      </c>
      <c r="M39" s="12" t="e">
        <f t="shared" si="5"/>
        <v>#N/A</v>
      </c>
      <c r="N39" s="12" t="e">
        <f t="shared" si="5"/>
        <v>#N/A</v>
      </c>
      <c r="O39" s="12" t="e">
        <f t="shared" si="5"/>
        <v>#N/A</v>
      </c>
      <c r="P39" s="12" t="e">
        <f t="shared" si="5"/>
        <v>#N/A</v>
      </c>
      <c r="Q39" s="12" t="e">
        <f t="shared" si="5"/>
        <v>#N/A</v>
      </c>
      <c r="R39" s="12" t="e">
        <f t="shared" si="5"/>
        <v>#N/A</v>
      </c>
      <c r="S39" s="12" t="e">
        <f t="shared" si="5"/>
        <v>#N/A</v>
      </c>
      <c r="T39" s="12" t="e">
        <f t="shared" si="5"/>
        <v>#N/A</v>
      </c>
      <c r="U39" s="12"/>
      <c r="V39" s="12"/>
      <c r="Z39" s="12"/>
    </row>
    <row r="40">
      <c r="A40" s="8"/>
      <c r="B40" s="15" t="n">
        <v>3</v>
      </c>
      <c r="C40" s="12" t="e">
        <f t="shared" si="3"/>
        <v>#N/A</v>
      </c>
      <c r="D40" s="12" t="e">
        <f t="shared" si="3"/>
        <v>#N/A</v>
      </c>
      <c r="E40" s="12" t="e">
        <f t="shared" si="3"/>
        <v>#N/A</v>
      </c>
      <c r="F40" s="12" t="e">
        <f t="shared" si="3"/>
        <v>#N/A</v>
      </c>
      <c r="G40" s="12" t="e">
        <f t="shared" si="3"/>
        <v>#N/A</v>
      </c>
      <c r="H40" s="12" t="e">
        <f t="shared" ref="H40:T40" si="6">H31-H30</f>
        <v>#N/A</v>
      </c>
      <c r="I40" s="12" t="e">
        <f t="shared" si="6"/>
        <v>#N/A</v>
      </c>
      <c r="J40" s="12" t="e">
        <f t="shared" si="6"/>
        <v>#N/A</v>
      </c>
      <c r="K40" s="12" t="e">
        <f t="shared" si="6"/>
        <v>#N/A</v>
      </c>
      <c r="L40" s="12" t="e">
        <f t="shared" si="6"/>
        <v>#N/A</v>
      </c>
      <c r="M40" s="12" t="e">
        <f t="shared" si="6"/>
        <v>#N/A</v>
      </c>
      <c r="N40" s="12" t="e">
        <f t="shared" si="6"/>
        <v>#N/A</v>
      </c>
      <c r="O40" s="12" t="e">
        <f t="shared" si="6"/>
        <v>#N/A</v>
      </c>
      <c r="P40" s="12" t="e">
        <f t="shared" si="6"/>
        <v>#N/A</v>
      </c>
      <c r="Q40" s="12" t="e">
        <f t="shared" si="6"/>
        <v>#N/A</v>
      </c>
      <c r="R40" s="12" t="e">
        <f t="shared" si="6"/>
        <v>#N/A</v>
      </c>
      <c r="S40" s="12" t="e">
        <f t="shared" si="6"/>
        <v>#N/A</v>
      </c>
      <c r="T40" s="12" t="e">
        <f t="shared" si="6"/>
        <v>#N/A</v>
      </c>
    </row>
    <row r="50">
      <c r="L50" s="13"/>
    </row>
  </sheetData>
  <mergeCells count="1">
    <mergeCell ref="A37:A40"/>
  </mergeCells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169</v>
      </c>
      <c r="D1" t="s">
        <v>69</v>
      </c>
      <c r="E1" t="s">
        <v>70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177</v>
      </c>
      <c r="S1" t="s">
        <v>178</v>
      </c>
      <c r="T1" t="s">
        <v>179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</row>
    <row r="2">
      <c r="A2" t="s">
        <v>102</v>
      </c>
      <c r="B2" t="n">
        <v>4356.102825</v>
      </c>
      <c r="C2" t="n">
        <v>504.021527</v>
      </c>
      <c r="D2" t="n">
        <v>1014.123698</v>
      </c>
      <c r="E2" t="n">
        <v>0.000000999999999140577</v>
      </c>
      <c r="F2" t="n">
        <v>-47.662326</v>
      </c>
      <c r="G2" t="n">
        <v>2.427435</v>
      </c>
      <c r="H2" t="n">
        <v>171.371592</v>
      </c>
      <c r="I2" t="n">
        <v>1524.784727</v>
      </c>
      <c r="J2" t="n">
        <v>1477.397588</v>
      </c>
      <c r="K2" t="n">
        <v>20.947306</v>
      </c>
      <c r="L2" t="n">
        <v>1287.291631</v>
      </c>
      <c r="M2" t="n">
        <v>514.388695</v>
      </c>
      <c r="N2" t="n">
        <v>231.031314</v>
      </c>
      <c r="O2" t="n">
        <v>15.945537</v>
      </c>
      <c r="P2" t="n">
        <v>0.667732</v>
      </c>
      <c r="Q2" t="n">
        <v>0.390138</v>
      </c>
      <c r="R2" t="n">
        <v>481.864943</v>
      </c>
      <c r="S2" t="n">
        <v>196.800171</v>
      </c>
      <c r="T2" t="n">
        <v>91.971992</v>
      </c>
      <c r="U2" t="n">
        <v>-268.857654</v>
      </c>
      <c r="V2" t="n">
        <v>-86.071095</v>
      </c>
      <c r="W2" t="n">
        <v>64.553321</v>
      </c>
      <c r="X2" t="n">
        <v>144.846404</v>
      </c>
      <c r="Y2" t="n">
        <v>251.391172752463</v>
      </c>
      <c r="Z2" t="n">
        <v>5.234304</v>
      </c>
      <c r="AA2" t="n">
        <v>14.0459128571429</v>
      </c>
      <c r="AB2" t="n">
        <v>0.59453</v>
      </c>
      <c r="AC2" t="n">
        <v>1.49053590785908</v>
      </c>
      <c r="AD2" t="n">
        <v>99.110279</v>
      </c>
      <c r="AE2" t="n">
        <v>80.312341</v>
      </c>
      <c r="AF2" t="n">
        <v>247.349042</v>
      </c>
      <c r="AG2" t="n">
        <v>135.405625</v>
      </c>
      <c r="AH2" t="n">
        <v>285.728324</v>
      </c>
      <c r="AI2" t="n">
        <v>40.487906</v>
      </c>
      <c r="AJ2" t="n">
        <v>-39.238874</v>
      </c>
    </row>
    <row r="3">
      <c r="A3" t="s">
        <v>180</v>
      </c>
      <c r="B3" t="n">
        <v>4356.102825</v>
      </c>
      <c r="C3" t="n">
        <v>501.51895</v>
      </c>
      <c r="D3" t="n">
        <v>1063.723187</v>
      </c>
      <c r="E3" t="n">
        <v>-0.00000299999999259226</v>
      </c>
      <c r="F3" t="n">
        <v>-47.662326</v>
      </c>
      <c r="G3" t="n">
        <v>2.427452</v>
      </c>
      <c r="H3" t="n">
        <v>171.371592</v>
      </c>
      <c r="I3" t="n">
        <v>1524.784727</v>
      </c>
      <c r="J3" t="n">
        <v>1477.397588</v>
      </c>
      <c r="K3" t="n">
        <v>20.947306</v>
      </c>
      <c r="L3" t="n">
        <v>1287.291631</v>
      </c>
      <c r="M3" t="n">
        <v>515.520107</v>
      </c>
      <c r="N3" t="n">
        <v>245.474774</v>
      </c>
      <c r="O3" t="n">
        <v>16.329208</v>
      </c>
      <c r="P3" t="n">
        <v>0.669141</v>
      </c>
      <c r="Q3" t="n">
        <v>0.393698</v>
      </c>
      <c r="R3" t="n">
        <v>505.459104</v>
      </c>
      <c r="S3" t="n">
        <v>196.800171</v>
      </c>
      <c r="T3" t="n">
        <v>99.906766</v>
      </c>
      <c r="U3" t="n">
        <v>-263.719911</v>
      </c>
      <c r="V3" t="n">
        <v>-79.874866</v>
      </c>
      <c r="W3" t="n">
        <v>59.90615</v>
      </c>
      <c r="X3" t="n">
        <v>152.431016</v>
      </c>
      <c r="Y3" t="n">
        <v>265.022390964817</v>
      </c>
      <c r="Z3" t="n">
        <v>5.241942</v>
      </c>
      <c r="AA3" t="n">
        <v>14.0650638095238</v>
      </c>
      <c r="AB3" t="n">
        <v>0.598623</v>
      </c>
      <c r="AC3" t="n">
        <v>1.50089993224932</v>
      </c>
      <c r="AD3" t="n">
        <v>109.987161</v>
      </c>
      <c r="AE3" t="n">
        <v>87.157595</v>
      </c>
      <c r="AF3" t="n">
        <v>242.622316</v>
      </c>
      <c r="AG3" t="n">
        <v>152.849628</v>
      </c>
      <c r="AH3" t="n">
        <v>285.786999</v>
      </c>
      <c r="AI3" t="n">
        <v>39.631056</v>
      </c>
      <c r="AJ3" t="n">
        <v>-37.588298</v>
      </c>
    </row>
    <row r="4">
      <c r="A4" t="s">
        <v>182</v>
      </c>
      <c r="B4" t="n">
        <v>4356.102825</v>
      </c>
      <c r="C4" t="n">
        <v>502.220614</v>
      </c>
      <c r="D4" t="n">
        <v>1194.445065</v>
      </c>
      <c r="E4" t="n">
        <v>-0.00000200000000660783</v>
      </c>
      <c r="F4" t="n">
        <v>-47.662326</v>
      </c>
      <c r="G4" t="n">
        <v>2.427908</v>
      </c>
      <c r="H4" t="n">
        <v>171.371592</v>
      </c>
      <c r="I4" t="n">
        <v>1524.784727</v>
      </c>
      <c r="J4" t="n">
        <v>1477.397588</v>
      </c>
      <c r="K4" t="n">
        <v>20.947306</v>
      </c>
      <c r="L4" t="n">
        <v>1287.291631</v>
      </c>
      <c r="M4" t="n">
        <v>516.42642</v>
      </c>
      <c r="N4" t="n">
        <v>354.634287</v>
      </c>
      <c r="O4" t="n">
        <v>17.198376</v>
      </c>
      <c r="P4" t="n">
        <v>0.679792</v>
      </c>
      <c r="Q4" t="n">
        <v>0.397125</v>
      </c>
      <c r="R4" t="n">
        <v>525.846516</v>
      </c>
      <c r="S4" t="n">
        <v>196.800171</v>
      </c>
      <c r="T4" t="n">
        <v>116.756174</v>
      </c>
      <c r="U4" t="n">
        <v>-265.245452</v>
      </c>
      <c r="V4" t="n">
        <v>-75.603018</v>
      </c>
      <c r="W4" t="n">
        <v>56.702263</v>
      </c>
      <c r="X4" t="n">
        <v>204.877863</v>
      </c>
      <c r="Y4" t="n">
        <v>355.034955092365</v>
      </c>
      <c r="Z4" t="n">
        <v>5.305103</v>
      </c>
      <c r="AA4" t="n">
        <v>14.2182833333333</v>
      </c>
      <c r="AB4" t="n">
        <v>0.671618</v>
      </c>
      <c r="AC4" t="n">
        <v>1.68027323848238</v>
      </c>
      <c r="AD4" t="n">
        <v>122.117502</v>
      </c>
      <c r="AE4" t="n">
        <v>143.705474</v>
      </c>
      <c r="AF4" t="n">
        <v>244.025816</v>
      </c>
      <c r="AG4" t="n">
        <v>159.703201</v>
      </c>
      <c r="AH4" t="n">
        <v>285.77353</v>
      </c>
      <c r="AI4" t="n">
        <v>39.015053</v>
      </c>
      <c r="AJ4" t="n">
        <v>-36.414698</v>
      </c>
    </row>
    <row r="5">
      <c r="A5" t="s">
        <v>183</v>
      </c>
      <c r="B5" t="n">
        <v>4356.102825</v>
      </c>
      <c r="C5" t="n">
        <v>502.242208</v>
      </c>
      <c r="D5" t="n">
        <v>1252.136686</v>
      </c>
      <c r="E5" t="n">
        <v>-0.000000999999999640178</v>
      </c>
      <c r="F5" t="n">
        <v>-47.662326</v>
      </c>
      <c r="G5" t="n">
        <v>2.428037</v>
      </c>
      <c r="H5" t="n">
        <v>171.371592</v>
      </c>
      <c r="I5" t="n">
        <v>1524.784727</v>
      </c>
      <c r="J5" t="n">
        <v>1477.397588</v>
      </c>
      <c r="K5" t="n">
        <v>20.947306</v>
      </c>
      <c r="L5" t="n">
        <v>1287.291631</v>
      </c>
      <c r="M5" t="n">
        <v>516.569693</v>
      </c>
      <c r="N5" t="n">
        <v>399.598976</v>
      </c>
      <c r="O5" t="n">
        <v>18.21271</v>
      </c>
      <c r="P5" t="n">
        <v>0.695372</v>
      </c>
      <c r="Q5" t="n">
        <v>0.397292</v>
      </c>
      <c r="R5" t="n">
        <v>533.835003</v>
      </c>
      <c r="S5" t="n">
        <v>196.800171</v>
      </c>
      <c r="T5" t="n">
        <v>126.658643</v>
      </c>
      <c r="U5" t="n">
        <v>-261.015086</v>
      </c>
      <c r="V5" t="n">
        <v>-76.838598</v>
      </c>
      <c r="W5" t="n">
        <v>57.628948</v>
      </c>
      <c r="X5" t="n">
        <v>225.252147</v>
      </c>
      <c r="Y5" t="n">
        <v>390.04223649872</v>
      </c>
      <c r="Z5" t="n">
        <v>5.422525</v>
      </c>
      <c r="AA5" t="n">
        <v>14.5053976190476</v>
      </c>
      <c r="AB5" t="n">
        <v>0.798566</v>
      </c>
      <c r="AC5" t="n">
        <v>1.99306104336043</v>
      </c>
      <c r="AD5" t="n">
        <v>125.115902</v>
      </c>
      <c r="AE5" t="n">
        <v>168.037581</v>
      </c>
      <c r="AF5" t="n">
        <v>240.133881</v>
      </c>
      <c r="AG5" t="n">
        <v>168.585222</v>
      </c>
      <c r="AH5" t="n">
        <v>285.757134</v>
      </c>
      <c r="AI5" t="n">
        <v>39.534324</v>
      </c>
      <c r="AJ5" t="n">
        <v>-37.252366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103</v>
      </c>
      <c r="C1" t="s">
        <v>67</v>
      </c>
      <c r="D1" t="s">
        <v>169</v>
      </c>
      <c r="E1" t="s">
        <v>69</v>
      </c>
      <c r="F1" t="s">
        <v>70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177</v>
      </c>
      <c r="T1" t="s">
        <v>178</v>
      </c>
      <c r="U1" t="s">
        <v>181</v>
      </c>
      <c r="V1" t="s">
        <v>179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</row>
    <row r="2">
      <c r="A2" t="s">
        <v>102</v>
      </c>
      <c r="B2" t="s">
        <v>105</v>
      </c>
      <c r="C2" t="n">
        <v>131.712636</v>
      </c>
      <c r="D2" t="n">
        <v>0.387588</v>
      </c>
      <c r="E2" t="n">
        <v>2.427077</v>
      </c>
      <c r="F2" t="n">
        <v>-19.755253</v>
      </c>
      <c r="G2" t="n">
        <v>-13.644687</v>
      </c>
      <c r="H2" t="n">
        <v>0.091499</v>
      </c>
      <c r="I2" t="n">
        <v>26.978019</v>
      </c>
      <c r="J2" t="n">
        <v>0</v>
      </c>
      <c r="K2" t="n">
        <v>43.808617</v>
      </c>
      <c r="L2" t="n">
        <v>0</v>
      </c>
      <c r="M2" t="n">
        <v>35.7189</v>
      </c>
      <c r="N2" t="n">
        <v>0</v>
      </c>
      <c r="O2" t="n">
        <v>6.086071</v>
      </c>
      <c r="P2" t="n">
        <v>0</v>
      </c>
      <c r="Q2" t="n">
        <v>0</v>
      </c>
      <c r="R2" t="n">
        <v>0</v>
      </c>
      <c r="S2" t="n">
        <v>1.723129</v>
      </c>
      <c r="T2" t="n">
        <v>4.385035</v>
      </c>
      <c r="U2" t="n">
        <v>0.00014512</v>
      </c>
      <c r="V2" t="n">
        <v>0</v>
      </c>
      <c r="W2" t="n">
        <v>-0.151478</v>
      </c>
      <c r="X2" t="n">
        <v>-0.664311</v>
      </c>
      <c r="Y2" t="n">
        <v>0.498233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0.079252</v>
      </c>
      <c r="AG2" t="n">
        <v>6.086071</v>
      </c>
      <c r="AH2" t="n">
        <v>0.13936</v>
      </c>
      <c r="AI2" t="n">
        <v>1.504517</v>
      </c>
      <c r="AJ2" t="n">
        <v>8.214085</v>
      </c>
      <c r="AK2" t="n">
        <v>11.186573</v>
      </c>
      <c r="AL2" t="n">
        <v>-9.457641</v>
      </c>
    </row>
    <row r="3">
      <c r="A3" t="s">
        <v>102</v>
      </c>
      <c r="B3" t="s">
        <v>106</v>
      </c>
      <c r="C3" t="n">
        <v>141.934298</v>
      </c>
      <c r="D3" t="n">
        <v>0.816509</v>
      </c>
      <c r="E3" t="n">
        <v>5.522598</v>
      </c>
      <c r="F3" t="n">
        <v>-45.995614</v>
      </c>
      <c r="G3" t="n">
        <v>0</v>
      </c>
      <c r="H3" t="n">
        <v>0.024396</v>
      </c>
      <c r="I3" t="n">
        <v>0.504509</v>
      </c>
      <c r="J3" t="n">
        <v>25.497276</v>
      </c>
      <c r="K3" t="n">
        <v>21.896684</v>
      </c>
      <c r="L3" t="n">
        <v>0</v>
      </c>
      <c r="M3" t="n">
        <v>27.927678</v>
      </c>
      <c r="N3" t="n">
        <v>0</v>
      </c>
      <c r="O3" t="n">
        <v>13.29864</v>
      </c>
      <c r="P3" t="n">
        <v>2.565192</v>
      </c>
      <c r="Q3" t="n">
        <v>0</v>
      </c>
      <c r="R3" t="n">
        <v>0.038954</v>
      </c>
      <c r="S3" t="n">
        <v>11.178723</v>
      </c>
      <c r="T3" t="n">
        <v>2.522381</v>
      </c>
      <c r="U3" t="n">
        <v>0.00010974</v>
      </c>
      <c r="V3" t="n">
        <v>5.496854</v>
      </c>
      <c r="W3" t="n">
        <v>-2.344967</v>
      </c>
      <c r="X3" t="n">
        <v>-3.326699</v>
      </c>
      <c r="Y3" t="n">
        <v>2.495024</v>
      </c>
      <c r="Z3" t="n">
        <v>8.210577</v>
      </c>
      <c r="AA3" t="n">
        <v>13.936625862069</v>
      </c>
      <c r="AB3" t="n">
        <v>0.087204</v>
      </c>
      <c r="AC3" t="n">
        <v>0.207628571428571</v>
      </c>
      <c r="AD3" t="n">
        <v>0</v>
      </c>
      <c r="AE3" t="n">
        <v>0</v>
      </c>
      <c r="AF3" t="n">
        <v>2.479652</v>
      </c>
      <c r="AG3" t="n">
        <v>5.00086</v>
      </c>
      <c r="AH3" t="n">
        <v>2.15737</v>
      </c>
      <c r="AI3" t="n">
        <v>6.5417</v>
      </c>
      <c r="AJ3" t="n">
        <v>0</v>
      </c>
      <c r="AK3" t="n">
        <v>0</v>
      </c>
      <c r="AL3" t="n">
        <v>0</v>
      </c>
    </row>
    <row r="4">
      <c r="A4" t="s">
        <v>102</v>
      </c>
      <c r="B4" t="s">
        <v>107</v>
      </c>
      <c r="C4" t="n">
        <v>0</v>
      </c>
      <c r="D4" t="n">
        <v>0.417733</v>
      </c>
      <c r="E4" t="n">
        <v>0</v>
      </c>
      <c r="F4" t="n">
        <v>5.53379</v>
      </c>
      <c r="G4" t="n">
        <v>0</v>
      </c>
      <c r="H4" t="n">
        <v>0</v>
      </c>
      <c r="I4" t="n">
        <v>0</v>
      </c>
      <c r="J4" t="n">
        <v>5.951523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0.0000886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s">
        <v>102</v>
      </c>
      <c r="B5" t="s">
        <v>108</v>
      </c>
      <c r="C5" t="n">
        <v>71.900756</v>
      </c>
      <c r="D5" t="n">
        <v>0.53872</v>
      </c>
      <c r="E5" t="n">
        <v>0.030347</v>
      </c>
      <c r="F5" t="n">
        <v>-0.580264</v>
      </c>
      <c r="G5" t="n">
        <v>0</v>
      </c>
      <c r="H5" t="n">
        <v>0.002698</v>
      </c>
      <c r="I5" t="n">
        <v>16.429958</v>
      </c>
      <c r="J5" t="n">
        <v>0</v>
      </c>
      <c r="K5" t="n">
        <v>2.37781</v>
      </c>
      <c r="L5" t="n">
        <v>0</v>
      </c>
      <c r="M5" t="n">
        <v>29.666223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2.351526</v>
      </c>
      <c r="T5" t="n">
        <v>2.467623</v>
      </c>
      <c r="U5" t="n">
        <v>0.00010036</v>
      </c>
      <c r="V5" t="n">
        <v>0.821621</v>
      </c>
      <c r="W5" t="n">
        <v>-0.989224</v>
      </c>
      <c r="X5" t="n">
        <v>-3.851162</v>
      </c>
      <c r="Y5" t="n">
        <v>2.888371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0.910086</v>
      </c>
      <c r="AI5" t="n">
        <v>1.44144</v>
      </c>
      <c r="AJ5" t="n">
        <v>18.549895</v>
      </c>
      <c r="AK5" t="n">
        <v>7.987418</v>
      </c>
      <c r="AL5" t="n">
        <v>-5.991557</v>
      </c>
    </row>
    <row r="6">
      <c r="A6" t="s">
        <v>102</v>
      </c>
      <c r="B6" t="s">
        <v>109</v>
      </c>
      <c r="C6" t="n">
        <v>97.710363</v>
      </c>
      <c r="D6" t="n">
        <v>0.008876</v>
      </c>
      <c r="E6" t="n">
        <v>1.690103</v>
      </c>
      <c r="F6" t="n">
        <v>-28.100523</v>
      </c>
      <c r="G6" t="n">
        <v>0.570706</v>
      </c>
      <c r="H6" t="n">
        <v>0.194409</v>
      </c>
      <c r="I6" t="n">
        <v>1.21153</v>
      </c>
      <c r="J6" t="n">
        <v>0</v>
      </c>
      <c r="K6" t="n">
        <v>6.382384</v>
      </c>
      <c r="L6" t="n">
        <v>0</v>
      </c>
      <c r="M6" t="n">
        <v>14.602958</v>
      </c>
      <c r="N6" t="n">
        <v>36.261576</v>
      </c>
      <c r="O6" t="n">
        <v>5.477052</v>
      </c>
      <c r="P6" t="n">
        <v>0</v>
      </c>
      <c r="Q6" t="n">
        <v>0</v>
      </c>
      <c r="R6" t="n">
        <v>0</v>
      </c>
      <c r="S6" t="n">
        <v>5.231531</v>
      </c>
      <c r="T6" t="n">
        <v>2.493861</v>
      </c>
      <c r="U6" t="n">
        <v>0.00017673</v>
      </c>
      <c r="V6" t="n">
        <v>3.712885</v>
      </c>
      <c r="W6" t="n">
        <v>-1.35954</v>
      </c>
      <c r="X6" t="n">
        <v>-1.153731</v>
      </c>
      <c r="Y6" t="n">
        <v>0.865298</v>
      </c>
      <c r="Z6" t="n">
        <v>5.36239</v>
      </c>
      <c r="AA6" t="n">
        <v>9.14970821018062</v>
      </c>
      <c r="AB6" t="n">
        <v>0.070931</v>
      </c>
      <c r="AC6" t="n">
        <v>0.168883333333333</v>
      </c>
      <c r="AD6" t="n">
        <v>0</v>
      </c>
      <c r="AE6" t="n">
        <v>0</v>
      </c>
      <c r="AF6" t="n">
        <v>0</v>
      </c>
      <c r="AG6" t="n">
        <v>0</v>
      </c>
      <c r="AH6" t="n">
        <v>1.250777</v>
      </c>
      <c r="AI6" t="n">
        <v>3.980754</v>
      </c>
      <c r="AJ6" t="n">
        <v>0.814778</v>
      </c>
      <c r="AK6" t="n">
        <v>0.711473</v>
      </c>
      <c r="AL6" t="n">
        <v>-0.995451</v>
      </c>
    </row>
    <row r="7">
      <c r="A7" t="s">
        <v>102</v>
      </c>
      <c r="B7" t="s">
        <v>110</v>
      </c>
      <c r="C7" t="n">
        <v>946.80668</v>
      </c>
      <c r="D7" t="n">
        <v>42.182771</v>
      </c>
      <c r="E7" t="n">
        <v>171.320523</v>
      </c>
      <c r="F7" t="n">
        <v>22.334946</v>
      </c>
      <c r="G7" t="n">
        <v>0</v>
      </c>
      <c r="H7" t="n">
        <v>1.753238</v>
      </c>
      <c r="I7" t="n">
        <v>15.126062</v>
      </c>
      <c r="J7" t="n">
        <v>294.323086</v>
      </c>
      <c r="K7" t="n">
        <v>387.784859</v>
      </c>
      <c r="L7" t="n">
        <v>0</v>
      </c>
      <c r="M7" t="n">
        <v>322.195358</v>
      </c>
      <c r="N7" t="n">
        <v>0</v>
      </c>
      <c r="O7" t="n">
        <v>54.516372</v>
      </c>
      <c r="P7" t="n">
        <v>0</v>
      </c>
      <c r="Q7" t="n">
        <v>0</v>
      </c>
      <c r="R7" t="n">
        <v>0</v>
      </c>
      <c r="S7" t="n">
        <v>154.65475</v>
      </c>
      <c r="T7" t="n">
        <v>29.959799</v>
      </c>
      <c r="U7" t="n">
        <v>0.00013607</v>
      </c>
      <c r="V7" t="n">
        <v>2.908037</v>
      </c>
      <c r="W7" t="n">
        <v>-71.431218</v>
      </c>
      <c r="X7" t="n">
        <v>-23.58042</v>
      </c>
      <c r="Y7" t="n">
        <v>17.685315</v>
      </c>
      <c r="Z7" t="n">
        <v>7.877748</v>
      </c>
      <c r="AA7" t="n">
        <v>13.549568384647</v>
      </c>
      <c r="AB7" t="n">
        <v>0.292029</v>
      </c>
      <c r="AC7" t="n">
        <v>0.695307142857143</v>
      </c>
      <c r="AD7" t="n">
        <v>0.131098</v>
      </c>
      <c r="AE7" t="n">
        <v>0.319751219512195</v>
      </c>
      <c r="AF7" t="n">
        <v>87.795324</v>
      </c>
      <c r="AG7" t="n">
        <v>46.215496</v>
      </c>
      <c r="AH7" t="n">
        <v>65.716721</v>
      </c>
      <c r="AI7" t="n">
        <v>1.142706</v>
      </c>
      <c r="AJ7" t="n">
        <v>0.641809</v>
      </c>
      <c r="AK7" t="n">
        <v>1.764577</v>
      </c>
      <c r="AL7" t="n">
        <v>-2.748707</v>
      </c>
    </row>
    <row r="8">
      <c r="A8" t="s">
        <v>102</v>
      </c>
      <c r="B8" t="s">
        <v>111</v>
      </c>
      <c r="C8" t="n">
        <v>0</v>
      </c>
      <c r="D8" t="n">
        <v>0.844719</v>
      </c>
      <c r="E8" t="n">
        <v>0</v>
      </c>
      <c r="F8" t="n">
        <v>1.470965</v>
      </c>
      <c r="G8" t="n">
        <v>0</v>
      </c>
      <c r="H8" t="n">
        <v>0</v>
      </c>
      <c r="I8" t="n">
        <v>0</v>
      </c>
      <c r="J8" t="n">
        <v>2.315684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0.00010806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s">
        <v>102</v>
      </c>
      <c r="B9" t="s">
        <v>112</v>
      </c>
      <c r="C9" t="n">
        <v>0</v>
      </c>
      <c r="D9" t="n">
        <v>2.687966</v>
      </c>
      <c r="E9" t="n">
        <v>0</v>
      </c>
      <c r="F9" t="n">
        <v>9.121786</v>
      </c>
      <c r="G9" t="n">
        <v>0</v>
      </c>
      <c r="H9" t="n">
        <v>0</v>
      </c>
      <c r="I9" t="n">
        <v>0</v>
      </c>
      <c r="J9" t="n">
        <v>11.809752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0.0001275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s">
        <v>102</v>
      </c>
      <c r="B10" t="s">
        <v>113</v>
      </c>
      <c r="C10" t="n">
        <v>20.626122</v>
      </c>
      <c r="D10" t="n">
        <v>1.862912</v>
      </c>
      <c r="E10" t="n">
        <v>6.812179</v>
      </c>
      <c r="F10" t="n">
        <v>-5.998527</v>
      </c>
      <c r="G10" t="n">
        <v>0</v>
      </c>
      <c r="H10" t="n">
        <v>0.050773</v>
      </c>
      <c r="I10" t="n">
        <v>0</v>
      </c>
      <c r="J10" t="n">
        <v>7.157267</v>
      </c>
      <c r="K10" t="n">
        <v>2.766005</v>
      </c>
      <c r="L10" t="n">
        <v>0</v>
      </c>
      <c r="M10" t="n">
        <v>7.846514</v>
      </c>
      <c r="N10" t="n">
        <v>0</v>
      </c>
      <c r="O10" t="n">
        <v>1.208476</v>
      </c>
      <c r="P10" t="n">
        <v>3.98544</v>
      </c>
      <c r="Q10" t="n">
        <v>0</v>
      </c>
      <c r="R10" t="n">
        <v>0.288211</v>
      </c>
      <c r="S10" t="n">
        <v>0</v>
      </c>
      <c r="T10" t="n">
        <v>0</v>
      </c>
      <c r="U10" t="n">
        <v>0.00012653</v>
      </c>
      <c r="V10" t="n">
        <v>0.724827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1.208476</v>
      </c>
      <c r="AC10" t="n">
        <v>3.18641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s">
        <v>102</v>
      </c>
      <c r="B11" t="s">
        <v>114</v>
      </c>
      <c r="C11" t="n">
        <v>0</v>
      </c>
      <c r="D11" t="n">
        <v>3.297281</v>
      </c>
      <c r="E11" t="n">
        <v>0</v>
      </c>
      <c r="F11" t="n">
        <v>2.732846</v>
      </c>
      <c r="G11" t="n">
        <v>0</v>
      </c>
      <c r="H11" t="n">
        <v>0</v>
      </c>
      <c r="I11" t="n">
        <v>0</v>
      </c>
      <c r="J11" t="n">
        <v>6.030127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0.00010814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s">
        <v>102</v>
      </c>
      <c r="B12" t="s">
        <v>115</v>
      </c>
      <c r="C12" t="n">
        <v>0</v>
      </c>
      <c r="D12" t="n">
        <v>31.295791</v>
      </c>
      <c r="E12" t="n">
        <v>0</v>
      </c>
      <c r="F12" t="n">
        <v>19.925329</v>
      </c>
      <c r="G12" t="n">
        <v>0</v>
      </c>
      <c r="H12" t="n">
        <v>0</v>
      </c>
      <c r="I12" t="n">
        <v>0</v>
      </c>
      <c r="J12" t="n">
        <v>51.22112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0.00005283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s">
        <v>102</v>
      </c>
      <c r="B13" t="s">
        <v>116</v>
      </c>
      <c r="C13" t="n">
        <v>37.91651</v>
      </c>
      <c r="D13" t="n">
        <v>4.856897</v>
      </c>
      <c r="E13" t="n">
        <v>48.451838</v>
      </c>
      <c r="F13" t="n">
        <v>-3.389528</v>
      </c>
      <c r="G13" t="n">
        <v>0</v>
      </c>
      <c r="H13" t="n">
        <v>0.005622</v>
      </c>
      <c r="I13" t="n">
        <v>0</v>
      </c>
      <c r="J13" t="n">
        <v>50.861161</v>
      </c>
      <c r="K13" t="n">
        <v>13.597175</v>
      </c>
      <c r="L13" t="n">
        <v>0</v>
      </c>
      <c r="M13" t="n">
        <v>18.769116</v>
      </c>
      <c r="N13" t="n">
        <v>0</v>
      </c>
      <c r="O13" t="n">
        <v>2.412108</v>
      </c>
      <c r="P13" t="n">
        <v>2.16146</v>
      </c>
      <c r="Q13" t="n">
        <v>0</v>
      </c>
      <c r="R13" t="n">
        <v>0.049823</v>
      </c>
      <c r="S13" t="n">
        <v>0.431994</v>
      </c>
      <c r="T13" t="n">
        <v>0.016817</v>
      </c>
      <c r="U13" t="n">
        <v>0.00011715</v>
      </c>
      <c r="V13" t="n">
        <v>1.041312</v>
      </c>
      <c r="W13" t="n">
        <v>-0.469558</v>
      </c>
      <c r="X13" t="n">
        <v>0</v>
      </c>
      <c r="Y13" t="n">
        <v>0</v>
      </c>
      <c r="Z13" t="n">
        <v>0.05484</v>
      </c>
      <c r="AA13" t="n">
        <v>0.11425</v>
      </c>
      <c r="AB13" t="n">
        <v>2.357268</v>
      </c>
      <c r="AC13" t="n">
        <v>6.64226476190476</v>
      </c>
      <c r="AD13" t="n">
        <v>0</v>
      </c>
      <c r="AE13" t="n">
        <v>0</v>
      </c>
      <c r="AF13" t="n">
        <v>0</v>
      </c>
      <c r="AG13" t="n">
        <v>0</v>
      </c>
      <c r="AH13" t="n">
        <v>0.431994</v>
      </c>
      <c r="AI13" t="n">
        <v>0</v>
      </c>
      <c r="AJ13" t="n">
        <v>0</v>
      </c>
      <c r="AK13" t="n">
        <v>0</v>
      </c>
      <c r="AL13" t="n">
        <v>0</v>
      </c>
    </row>
    <row r="14">
      <c r="A14" t="s">
        <v>102</v>
      </c>
      <c r="B14" t="s">
        <v>117</v>
      </c>
      <c r="C14" t="n">
        <v>298.944121</v>
      </c>
      <c r="D14" t="n">
        <v>247.238218</v>
      </c>
      <c r="E14" t="n">
        <v>72.066326</v>
      </c>
      <c r="F14" t="n">
        <v>42.95305</v>
      </c>
      <c r="G14" t="n">
        <v>-14.630453</v>
      </c>
      <c r="H14" t="n">
        <v>0</v>
      </c>
      <c r="I14" t="n">
        <v>6.798998</v>
      </c>
      <c r="J14" t="n">
        <v>11.441055</v>
      </c>
      <c r="K14" t="n">
        <v>289.971124</v>
      </c>
      <c r="L14" t="n">
        <v>18.976139</v>
      </c>
      <c r="M14" t="n">
        <v>309.229611</v>
      </c>
      <c r="N14" t="n">
        <v>0</v>
      </c>
      <c r="O14" t="n">
        <v>25.374676</v>
      </c>
      <c r="P14" t="n">
        <v>0</v>
      </c>
      <c r="Q14" t="n">
        <v>0</v>
      </c>
      <c r="R14" t="n">
        <v>0</v>
      </c>
      <c r="S14" t="n">
        <v>39.863301</v>
      </c>
      <c r="T14" t="n">
        <v>7.659094</v>
      </c>
      <c r="U14" t="n">
        <v>0.00001341</v>
      </c>
      <c r="V14" t="n">
        <v>7.844086</v>
      </c>
      <c r="W14" t="n">
        <v>-41.235614</v>
      </c>
      <c r="X14" t="n">
        <v>-26.391106</v>
      </c>
      <c r="Y14" t="n">
        <v>19.79333</v>
      </c>
      <c r="Z14" t="n">
        <v>25.374676</v>
      </c>
      <c r="AA14" t="n">
        <v>45.3119214285714</v>
      </c>
      <c r="AB14" t="n">
        <v>0</v>
      </c>
      <c r="AC14" t="n">
        <v>0</v>
      </c>
      <c r="AD14" t="n">
        <v>0</v>
      </c>
      <c r="AE14" t="n">
        <v>0</v>
      </c>
      <c r="AF14" t="n">
        <v>0.000703</v>
      </c>
      <c r="AG14" t="n">
        <v>0</v>
      </c>
      <c r="AH14" t="n">
        <v>37.936764</v>
      </c>
      <c r="AI14" t="n">
        <v>1.925833</v>
      </c>
      <c r="AJ14" t="n">
        <v>16.221548</v>
      </c>
      <c r="AK14" t="n">
        <v>3.286755</v>
      </c>
      <c r="AL14" t="n">
        <v>-5.156732</v>
      </c>
    </row>
    <row r="15">
      <c r="A15" t="s">
        <v>102</v>
      </c>
      <c r="B15" t="s">
        <v>118</v>
      </c>
      <c r="C15" t="n">
        <v>126.354368</v>
      </c>
      <c r="D15" t="n">
        <v>8.667963</v>
      </c>
      <c r="E15" t="n">
        <v>156.758625</v>
      </c>
      <c r="F15" t="n">
        <v>2.315297</v>
      </c>
      <c r="G15" t="n">
        <v>3.318146</v>
      </c>
      <c r="H15" t="n">
        <v>0</v>
      </c>
      <c r="I15" t="n">
        <v>0</v>
      </c>
      <c r="J15" t="n">
        <v>19.605417</v>
      </c>
      <c r="K15" t="n">
        <v>192.398619</v>
      </c>
      <c r="L15" t="n">
        <v>0</v>
      </c>
      <c r="M15" t="n">
        <v>19.986966</v>
      </c>
      <c r="N15" t="n">
        <v>25.068441</v>
      </c>
      <c r="O15" t="n">
        <v>1.833328</v>
      </c>
      <c r="P15" t="n">
        <v>4.00005</v>
      </c>
      <c r="Q15" t="n">
        <v>0</v>
      </c>
      <c r="R15" t="n">
        <v>0</v>
      </c>
      <c r="S15" t="n">
        <v>6.233285</v>
      </c>
      <c r="T15" t="n">
        <v>11.035377</v>
      </c>
      <c r="U15" t="n">
        <v>0.00009011</v>
      </c>
      <c r="V15" t="n">
        <v>0.780266</v>
      </c>
      <c r="W15" t="n">
        <v>-2.308572</v>
      </c>
      <c r="X15" t="n">
        <v>0</v>
      </c>
      <c r="Y15" t="n">
        <v>0</v>
      </c>
      <c r="Z15" t="n">
        <v>1.797702</v>
      </c>
      <c r="AA15" t="n">
        <v>3.71414642857143</v>
      </c>
      <c r="AB15" t="n">
        <v>0.035625</v>
      </c>
      <c r="AC15" t="n">
        <v>0.0892895238095238</v>
      </c>
      <c r="AD15" t="n">
        <v>0</v>
      </c>
      <c r="AE15" t="n">
        <v>0</v>
      </c>
      <c r="AF15" t="n">
        <v>3.73718</v>
      </c>
      <c r="AG15" t="n">
        <v>0</v>
      </c>
      <c r="AH15" t="n">
        <v>2.123886</v>
      </c>
      <c r="AI15" t="n">
        <v>0.372219</v>
      </c>
      <c r="AJ15" t="n">
        <v>12.925194</v>
      </c>
      <c r="AK15" t="n">
        <v>0</v>
      </c>
      <c r="AL15" t="n">
        <v>0</v>
      </c>
    </row>
    <row r="16">
      <c r="A16" t="s">
        <v>102</v>
      </c>
      <c r="B16" t="s">
        <v>119</v>
      </c>
      <c r="C16" t="n">
        <v>614.149235</v>
      </c>
      <c r="D16" t="n">
        <v>1.236813</v>
      </c>
      <c r="E16" t="n">
        <v>79.886519</v>
      </c>
      <c r="F16" t="n">
        <v>-4.343573</v>
      </c>
      <c r="G16" t="n">
        <v>0</v>
      </c>
      <c r="H16" t="n">
        <v>0.058709</v>
      </c>
      <c r="I16" t="n">
        <v>39.677041</v>
      </c>
      <c r="J16" t="n">
        <v>97.019013</v>
      </c>
      <c r="K16" t="n">
        <v>101.861218</v>
      </c>
      <c r="L16" t="n">
        <v>0</v>
      </c>
      <c r="M16" t="n">
        <v>85.874738</v>
      </c>
      <c r="N16" t="n">
        <v>332.541693</v>
      </c>
      <c r="O16" t="n">
        <v>5.797968</v>
      </c>
      <c r="P16" t="n">
        <v>0</v>
      </c>
      <c r="Q16" t="n">
        <v>0</v>
      </c>
      <c r="R16" t="n">
        <v>0</v>
      </c>
      <c r="S16" t="n">
        <v>8.832717</v>
      </c>
      <c r="T16" t="n">
        <v>12.149015</v>
      </c>
      <c r="U16" t="n">
        <v>0.00008911</v>
      </c>
      <c r="V16" t="n">
        <v>1.857468</v>
      </c>
      <c r="W16" t="n">
        <v>-7.631462</v>
      </c>
      <c r="X16" t="n">
        <v>-6.049375</v>
      </c>
      <c r="Y16" t="n">
        <v>4.537031</v>
      </c>
      <c r="Z16" t="n">
        <v>3.903509</v>
      </c>
      <c r="AA16" t="n">
        <v>6.7500539408867</v>
      </c>
      <c r="AB16" t="n">
        <v>0</v>
      </c>
      <c r="AC16" t="n">
        <v>0</v>
      </c>
      <c r="AD16" t="n">
        <v>0</v>
      </c>
      <c r="AE16" t="n">
        <v>0</v>
      </c>
      <c r="AF16" t="n">
        <v>0.427481</v>
      </c>
      <c r="AG16" t="n">
        <v>1.894459</v>
      </c>
      <c r="AH16" t="n">
        <v>7.020945</v>
      </c>
      <c r="AI16" t="n">
        <v>1.384291</v>
      </c>
      <c r="AJ16" t="n">
        <v>18.081618</v>
      </c>
      <c r="AK16" t="n">
        <v>2.978951</v>
      </c>
      <c r="AL16" t="n">
        <v>-4.799902</v>
      </c>
    </row>
    <row r="17">
      <c r="A17" t="s">
        <v>102</v>
      </c>
      <c r="B17" t="s">
        <v>120</v>
      </c>
      <c r="C17" t="n">
        <v>68.088884</v>
      </c>
      <c r="D17" t="n">
        <v>19.75731</v>
      </c>
      <c r="E17" t="n">
        <v>19.099676</v>
      </c>
      <c r="F17" t="n">
        <v>3.638654</v>
      </c>
      <c r="G17" t="n">
        <v>0</v>
      </c>
      <c r="H17" t="n">
        <v>0</v>
      </c>
      <c r="I17" t="n">
        <v>0.830013</v>
      </c>
      <c r="J17" t="n">
        <v>55.860755</v>
      </c>
      <c r="K17" t="n">
        <v>33.22913</v>
      </c>
      <c r="L17" t="n">
        <v>0</v>
      </c>
      <c r="M17" t="n">
        <v>12.749187</v>
      </c>
      <c r="N17" t="n">
        <v>0</v>
      </c>
      <c r="O17" t="n">
        <v>7.460639</v>
      </c>
      <c r="P17" t="n">
        <v>0</v>
      </c>
      <c r="Q17" t="n">
        <v>0.324413</v>
      </c>
      <c r="R17" t="n">
        <v>0.004337</v>
      </c>
      <c r="S17" t="n">
        <v>19.499092</v>
      </c>
      <c r="T17" t="n">
        <v>0.922485</v>
      </c>
      <c r="U17" t="n">
        <v>0.00003395</v>
      </c>
      <c r="V17" t="n">
        <v>1.675671</v>
      </c>
      <c r="W17" t="n">
        <v>-19.85352</v>
      </c>
      <c r="X17" t="n">
        <v>-1.768032</v>
      </c>
      <c r="Y17" t="n">
        <v>1.326024</v>
      </c>
      <c r="Z17" t="n">
        <v>5.263287</v>
      </c>
      <c r="AA17" t="n">
        <v>9.69416998357964</v>
      </c>
      <c r="AB17" t="n">
        <v>0.004426</v>
      </c>
      <c r="AC17" t="n">
        <v>0.0105380952380952</v>
      </c>
      <c r="AD17" t="n">
        <v>0</v>
      </c>
      <c r="AE17" t="n">
        <v>0</v>
      </c>
      <c r="AF17" t="n">
        <v>1.233854</v>
      </c>
      <c r="AG17" t="n">
        <v>2.192925</v>
      </c>
      <c r="AH17" t="n">
        <v>18.265238</v>
      </c>
      <c r="AI17" t="n">
        <v>0</v>
      </c>
      <c r="AJ17" t="n">
        <v>0</v>
      </c>
      <c r="AK17" t="n">
        <v>0</v>
      </c>
      <c r="AL17" t="n">
        <v>0</v>
      </c>
    </row>
    <row r="18">
      <c r="A18" t="s">
        <v>102</v>
      </c>
      <c r="B18" t="s">
        <v>121</v>
      </c>
      <c r="C18" t="n">
        <v>7.378741</v>
      </c>
      <c r="D18" t="n">
        <v>3.396977</v>
      </c>
      <c r="E18" t="n">
        <v>0.588941</v>
      </c>
      <c r="F18" t="n">
        <v>10.507374</v>
      </c>
      <c r="G18" t="n">
        <v>0</v>
      </c>
      <c r="H18" t="n">
        <v>0</v>
      </c>
      <c r="I18" t="n">
        <v>0.228904</v>
      </c>
      <c r="J18" t="n">
        <v>4.483696</v>
      </c>
      <c r="K18" t="n">
        <v>3.957382</v>
      </c>
      <c r="L18" t="n">
        <v>0</v>
      </c>
      <c r="M18" t="n">
        <v>9.458328</v>
      </c>
      <c r="N18" t="n">
        <v>0</v>
      </c>
      <c r="O18" t="n">
        <v>1.985905</v>
      </c>
      <c r="P18" t="n">
        <v>0</v>
      </c>
      <c r="Q18" t="n">
        <v>0</v>
      </c>
      <c r="R18" t="n">
        <v>0</v>
      </c>
      <c r="S18" t="n">
        <v>4.262587</v>
      </c>
      <c r="T18" t="n">
        <v>0.93898</v>
      </c>
      <c r="U18" t="n">
        <v>0.00005131</v>
      </c>
      <c r="V18" t="n">
        <v>0.585598</v>
      </c>
      <c r="W18" t="n">
        <v>-4.475227</v>
      </c>
      <c r="X18" t="n">
        <v>0</v>
      </c>
      <c r="Y18" t="n">
        <v>0</v>
      </c>
      <c r="Z18" t="n">
        <v>1.985905</v>
      </c>
      <c r="AA18" t="n">
        <v>3.30984166666667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4.117209</v>
      </c>
      <c r="AI18" t="n">
        <v>0.145378</v>
      </c>
      <c r="AJ18" t="n">
        <v>1.031478</v>
      </c>
      <c r="AK18" t="n">
        <v>0</v>
      </c>
      <c r="AL18" t="n">
        <v>0</v>
      </c>
    </row>
    <row r="19">
      <c r="A19" t="s">
        <v>102</v>
      </c>
      <c r="B19" t="s">
        <v>122</v>
      </c>
      <c r="C19" t="n">
        <v>34.233589</v>
      </c>
      <c r="D19" t="n">
        <v>0.280538</v>
      </c>
      <c r="E19" t="n">
        <v>0.006187</v>
      </c>
      <c r="F19" t="n">
        <v>-5.564153</v>
      </c>
      <c r="G19" t="n">
        <v>0</v>
      </c>
      <c r="H19" t="n">
        <v>0</v>
      </c>
      <c r="I19" t="n">
        <v>0.809252</v>
      </c>
      <c r="J19" t="n">
        <v>4.554114</v>
      </c>
      <c r="K19" t="n">
        <v>1.453193</v>
      </c>
      <c r="L19" t="n">
        <v>0</v>
      </c>
      <c r="M19" t="n">
        <v>9.955687</v>
      </c>
      <c r="N19" t="n">
        <v>0</v>
      </c>
      <c r="O19" t="n">
        <v>0.720819</v>
      </c>
      <c r="P19" t="n">
        <v>0</v>
      </c>
      <c r="Q19" t="n">
        <v>0</v>
      </c>
      <c r="R19" t="n">
        <v>0</v>
      </c>
      <c r="S19" t="n">
        <v>6.920971</v>
      </c>
      <c r="T19" t="n">
        <v>6.865403</v>
      </c>
      <c r="U19" t="n">
        <v>0.00005493</v>
      </c>
      <c r="V19" t="n">
        <v>2.374684</v>
      </c>
      <c r="W19" t="n">
        <v>-2.890796</v>
      </c>
      <c r="X19" t="n">
        <v>0</v>
      </c>
      <c r="Y19" t="n">
        <v>0</v>
      </c>
      <c r="Z19" t="n">
        <v>0.718295</v>
      </c>
      <c r="AA19" t="n">
        <v>1.44971279761905</v>
      </c>
      <c r="AB19" t="n">
        <v>0.002524</v>
      </c>
      <c r="AC19" t="n">
        <v>0.00602142857142857</v>
      </c>
      <c r="AD19" t="n">
        <v>0</v>
      </c>
      <c r="AE19" t="n">
        <v>0</v>
      </c>
      <c r="AF19" t="n">
        <v>0</v>
      </c>
      <c r="AG19" t="n">
        <v>0</v>
      </c>
      <c r="AH19" t="n">
        <v>2.659532</v>
      </c>
      <c r="AI19" t="n">
        <v>4.261439</v>
      </c>
      <c r="AJ19" t="n">
        <v>0.567517</v>
      </c>
      <c r="AK19" t="n">
        <v>0</v>
      </c>
      <c r="AL19" t="n">
        <v>0</v>
      </c>
    </row>
    <row r="20">
      <c r="A20" t="s">
        <v>102</v>
      </c>
      <c r="B20" t="s">
        <v>123</v>
      </c>
      <c r="C20" t="n">
        <v>67.320972</v>
      </c>
      <c r="D20" t="n">
        <v>1.141268</v>
      </c>
      <c r="E20" t="n">
        <v>0.075495</v>
      </c>
      <c r="F20" t="n">
        <v>-14.307055</v>
      </c>
      <c r="G20" t="n">
        <v>-6.775526</v>
      </c>
      <c r="H20" t="n">
        <v>0</v>
      </c>
      <c r="I20" t="n">
        <v>2.298481</v>
      </c>
      <c r="J20" t="n">
        <v>3.851531</v>
      </c>
      <c r="K20" t="n">
        <v>12.285661</v>
      </c>
      <c r="L20" t="n">
        <v>0</v>
      </c>
      <c r="M20" t="n">
        <v>34.128431</v>
      </c>
      <c r="N20" t="n">
        <v>0</v>
      </c>
      <c r="O20" t="n">
        <v>4.065293</v>
      </c>
      <c r="P20" t="n">
        <v>0</v>
      </c>
      <c r="Q20" t="n">
        <v>0</v>
      </c>
      <c r="R20" t="n">
        <v>0</v>
      </c>
      <c r="S20" t="n">
        <v>9.794797</v>
      </c>
      <c r="T20" t="n">
        <v>2.83055</v>
      </c>
      <c r="U20" t="n">
        <v>0.00005337</v>
      </c>
      <c r="V20" t="n">
        <v>1.585977</v>
      </c>
      <c r="W20" t="n">
        <v>-9.607142</v>
      </c>
      <c r="X20" t="n">
        <v>-2.255987</v>
      </c>
      <c r="Y20" t="n">
        <v>1.69199</v>
      </c>
      <c r="Z20" t="n">
        <v>4.060897</v>
      </c>
      <c r="AA20" t="n">
        <v>6.99804235837438</v>
      </c>
      <c r="AB20" t="n">
        <v>0.004374</v>
      </c>
      <c r="AC20" t="n">
        <v>0.0104142857142857</v>
      </c>
      <c r="AD20" t="n">
        <v>0.000021</v>
      </c>
      <c r="AE20" t="n">
        <v>0.000051219512195122</v>
      </c>
      <c r="AF20" t="n">
        <v>0</v>
      </c>
      <c r="AG20" t="n">
        <v>0</v>
      </c>
      <c r="AH20" t="n">
        <v>8.838571</v>
      </c>
      <c r="AI20" t="n">
        <v>0.956226</v>
      </c>
      <c r="AJ20" t="n">
        <v>1.700676</v>
      </c>
      <c r="AK20" t="n">
        <v>0.799697</v>
      </c>
      <c r="AL20" t="n">
        <v>-0.577719</v>
      </c>
    </row>
    <row r="21">
      <c r="A21" t="s">
        <v>102</v>
      </c>
      <c r="B21" t="s">
        <v>124</v>
      </c>
      <c r="C21" t="n">
        <v>214.844151</v>
      </c>
      <c r="D21" t="n">
        <v>0.111233</v>
      </c>
      <c r="E21" t="n">
        <v>0.0035</v>
      </c>
      <c r="F21" t="n">
        <v>-91.911544</v>
      </c>
      <c r="G21" t="n">
        <v>-4.680265</v>
      </c>
      <c r="H21" t="n">
        <v>0</v>
      </c>
      <c r="I21" t="n">
        <v>21.41099</v>
      </c>
      <c r="J21" t="n">
        <v>2.200377</v>
      </c>
      <c r="K21" t="n">
        <v>1.422267</v>
      </c>
      <c r="L21" t="n">
        <v>0</v>
      </c>
      <c r="M21" t="n">
        <v>42.119373</v>
      </c>
      <c r="N21" t="n">
        <v>0</v>
      </c>
      <c r="O21" t="n">
        <v>37.205635</v>
      </c>
      <c r="P21" t="n">
        <v>0</v>
      </c>
      <c r="Q21" t="n">
        <v>0</v>
      </c>
      <c r="R21" t="n">
        <v>0.000056</v>
      </c>
      <c r="S21" t="n">
        <v>7.333478</v>
      </c>
      <c r="T21" t="n">
        <v>8.304444</v>
      </c>
      <c r="U21" t="n">
        <v>0.0000707</v>
      </c>
      <c r="V21" t="n">
        <v>9.842697</v>
      </c>
      <c r="W21" t="n">
        <v>-6.679763</v>
      </c>
      <c r="X21" t="n">
        <v>-4.085944</v>
      </c>
      <c r="Y21" t="n">
        <v>3.064458</v>
      </c>
      <c r="Z21" t="n">
        <v>36.90851</v>
      </c>
      <c r="AA21" t="n">
        <v>62.805196886289</v>
      </c>
      <c r="AB21" t="n">
        <v>0.104619</v>
      </c>
      <c r="AC21" t="n">
        <v>0.249092857142857</v>
      </c>
      <c r="AD21" t="n">
        <v>0.192505</v>
      </c>
      <c r="AE21" t="n">
        <v>0.469869918699187</v>
      </c>
      <c r="AF21" t="n">
        <v>0</v>
      </c>
      <c r="AG21" t="n">
        <v>0</v>
      </c>
      <c r="AH21" t="n">
        <v>6.145382</v>
      </c>
      <c r="AI21" t="n">
        <v>1.188096</v>
      </c>
      <c r="AJ21" t="n">
        <v>13.456738</v>
      </c>
      <c r="AK21" t="n">
        <v>3.799104</v>
      </c>
      <c r="AL21" t="n">
        <v>-1.823782</v>
      </c>
    </row>
    <row r="22">
      <c r="A22" t="s">
        <v>102</v>
      </c>
      <c r="B22" t="s">
        <v>125</v>
      </c>
      <c r="C22" t="n">
        <v>28.067442</v>
      </c>
      <c r="D22" t="n">
        <v>5.643645</v>
      </c>
      <c r="E22" t="n">
        <v>1.011909</v>
      </c>
      <c r="F22" t="n">
        <v>24.574602</v>
      </c>
      <c r="G22" t="n">
        <v>-9.758144</v>
      </c>
      <c r="H22" t="n">
        <v>0</v>
      </c>
      <c r="I22" t="n">
        <v>0</v>
      </c>
      <c r="J22" t="n">
        <v>16.35232</v>
      </c>
      <c r="K22" t="n">
        <v>17.604022</v>
      </c>
      <c r="L22" t="n">
        <v>0.567363</v>
      </c>
      <c r="M22" t="n">
        <v>27.982005</v>
      </c>
      <c r="N22" t="n">
        <v>0</v>
      </c>
      <c r="O22" t="n">
        <v>3.863872</v>
      </c>
      <c r="P22" t="n">
        <v>0</v>
      </c>
      <c r="Q22" t="n">
        <v>0</v>
      </c>
      <c r="R22" t="n">
        <v>0</v>
      </c>
      <c r="S22" t="n">
        <v>14.234667</v>
      </c>
      <c r="T22" t="n">
        <v>2.321148</v>
      </c>
      <c r="U22" t="n">
        <v>0.00005135</v>
      </c>
      <c r="V22" t="n">
        <v>0.997856</v>
      </c>
      <c r="W22" t="n">
        <v>-14.154729</v>
      </c>
      <c r="X22" t="n">
        <v>0</v>
      </c>
      <c r="Y22" t="n">
        <v>0</v>
      </c>
      <c r="Z22" t="n">
        <v>3.863387</v>
      </c>
      <c r="AA22" t="n">
        <v>6.43897833333333</v>
      </c>
      <c r="AB22" t="n">
        <v>0.000485</v>
      </c>
      <c r="AC22" t="n">
        <v>0.0011547619047619</v>
      </c>
      <c r="AD22" t="n">
        <v>0</v>
      </c>
      <c r="AE22" t="n">
        <v>0</v>
      </c>
      <c r="AF22" t="n">
        <v>0</v>
      </c>
      <c r="AG22" t="n">
        <v>0</v>
      </c>
      <c r="AH22" t="n">
        <v>13.022351</v>
      </c>
      <c r="AI22" t="n">
        <v>1.212316</v>
      </c>
      <c r="AJ22" t="n">
        <v>0.285074</v>
      </c>
      <c r="AK22" t="n">
        <v>0</v>
      </c>
      <c r="AL22" t="n">
        <v>0</v>
      </c>
    </row>
    <row r="23">
      <c r="A23" t="s">
        <v>102</v>
      </c>
      <c r="B23" t="s">
        <v>126</v>
      </c>
      <c r="C23" t="n">
        <v>13.086239</v>
      </c>
      <c r="D23" t="n">
        <v>3.672273</v>
      </c>
      <c r="E23" t="n">
        <v>0.894225</v>
      </c>
      <c r="F23" t="n">
        <v>9.339566</v>
      </c>
      <c r="G23" t="n">
        <v>0</v>
      </c>
      <c r="H23" t="n">
        <v>0</v>
      </c>
      <c r="I23" t="n">
        <v>0.103064</v>
      </c>
      <c r="J23" t="n">
        <v>7.886103</v>
      </c>
      <c r="K23" t="n">
        <v>3.558612</v>
      </c>
      <c r="L23" t="n">
        <v>0</v>
      </c>
      <c r="M23" t="n">
        <v>15.187467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6.231379</v>
      </c>
      <c r="T23" t="n">
        <v>0.517765</v>
      </c>
      <c r="U23" t="n">
        <v>0.00004778</v>
      </c>
      <c r="V23" t="n">
        <v>0.122097</v>
      </c>
      <c r="W23" t="n">
        <v>-6.5597</v>
      </c>
      <c r="X23" t="n">
        <v>-0.639754</v>
      </c>
      <c r="Y23" t="n">
        <v>0.479816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6.034924</v>
      </c>
      <c r="AI23" t="n">
        <v>0.196455</v>
      </c>
      <c r="AJ23" t="n">
        <v>0.22755</v>
      </c>
      <c r="AK23" t="n">
        <v>0</v>
      </c>
      <c r="AL23" t="n">
        <v>0</v>
      </c>
    </row>
    <row r="24">
      <c r="A24" t="s">
        <v>102</v>
      </c>
      <c r="B24" t="s">
        <v>127</v>
      </c>
      <c r="C24" t="n">
        <v>23.914092</v>
      </c>
      <c r="D24" t="n">
        <v>4.168669</v>
      </c>
      <c r="E24" t="n">
        <v>0.713344</v>
      </c>
      <c r="F24" t="n">
        <v>4.140097</v>
      </c>
      <c r="G24" t="n">
        <v>-8.626148</v>
      </c>
      <c r="H24" t="n">
        <v>0</v>
      </c>
      <c r="I24" t="n">
        <v>0.259555</v>
      </c>
      <c r="J24" t="n">
        <v>9.080834</v>
      </c>
      <c r="K24" t="n">
        <v>8.368204</v>
      </c>
      <c r="L24" t="n">
        <v>0.588923</v>
      </c>
      <c r="M24" t="n">
        <v>18.790373</v>
      </c>
      <c r="N24" t="n">
        <v>0</v>
      </c>
      <c r="O24" t="n">
        <v>2.371971</v>
      </c>
      <c r="P24" t="n">
        <v>0</v>
      </c>
      <c r="Q24" t="n">
        <v>0</v>
      </c>
      <c r="R24" t="n">
        <v>0</v>
      </c>
      <c r="S24" t="n">
        <v>12.240466</v>
      </c>
      <c r="T24" t="n">
        <v>0.483005</v>
      </c>
      <c r="U24" t="n">
        <v>0.00005101</v>
      </c>
      <c r="V24" t="n">
        <v>2.022971</v>
      </c>
      <c r="W24" t="n">
        <v>-10.27587</v>
      </c>
      <c r="X24" t="n">
        <v>-1.316905</v>
      </c>
      <c r="Y24" t="n">
        <v>0.987679</v>
      </c>
      <c r="Z24" t="n">
        <v>2.370944</v>
      </c>
      <c r="AA24" t="n">
        <v>4.05244478243021</v>
      </c>
      <c r="AB24" t="n">
        <v>0.001026</v>
      </c>
      <c r="AC24" t="n">
        <v>0.00244285714285714</v>
      </c>
      <c r="AD24" t="n">
        <v>0</v>
      </c>
      <c r="AE24" t="n">
        <v>0</v>
      </c>
      <c r="AF24" t="n">
        <v>0</v>
      </c>
      <c r="AG24" t="n">
        <v>0</v>
      </c>
      <c r="AH24" t="n">
        <v>9.453801</v>
      </c>
      <c r="AI24" t="n">
        <v>2.786665</v>
      </c>
      <c r="AJ24" t="n">
        <v>0.034493</v>
      </c>
      <c r="AK24" t="n">
        <v>0.076573</v>
      </c>
      <c r="AL24" t="n">
        <v>-0.126895</v>
      </c>
    </row>
    <row r="25">
      <c r="A25" t="s">
        <v>102</v>
      </c>
      <c r="B25" t="s">
        <v>128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0.00005156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s">
        <v>102</v>
      </c>
      <c r="B26" t="s">
        <v>129</v>
      </c>
      <c r="C26" t="n">
        <v>230.992422</v>
      </c>
      <c r="D26" t="n">
        <v>4.49974</v>
      </c>
      <c r="E26" t="n">
        <v>147.477554</v>
      </c>
      <c r="F26" t="n">
        <v>-25.646288</v>
      </c>
      <c r="G26" t="n">
        <v>0</v>
      </c>
      <c r="H26" t="n">
        <v>0.027355</v>
      </c>
      <c r="I26" t="n">
        <v>0.106773</v>
      </c>
      <c r="J26" t="n">
        <v>218.1391</v>
      </c>
      <c r="K26" t="n">
        <v>28.321587</v>
      </c>
      <c r="L26" t="n">
        <v>0</v>
      </c>
      <c r="M26" t="n">
        <v>84.690326</v>
      </c>
      <c r="N26" t="n">
        <v>0</v>
      </c>
      <c r="O26" t="n">
        <v>18.258825</v>
      </c>
      <c r="P26" t="n">
        <v>0</v>
      </c>
      <c r="Q26" t="n">
        <v>0</v>
      </c>
      <c r="R26" t="n">
        <v>0</v>
      </c>
      <c r="S26" t="n">
        <v>36.475483</v>
      </c>
      <c r="T26" t="n">
        <v>0.729727</v>
      </c>
      <c r="U26" t="n">
        <v>0.00011131</v>
      </c>
      <c r="V26" t="n">
        <v>5.378137</v>
      </c>
      <c r="W26" t="n">
        <v>-29.425748</v>
      </c>
      <c r="X26" t="n">
        <v>0</v>
      </c>
      <c r="Y26" t="n">
        <v>0</v>
      </c>
      <c r="Z26" t="n">
        <v>2.60069</v>
      </c>
      <c r="AA26" t="n">
        <v>4.64671623563218</v>
      </c>
      <c r="AB26" t="n">
        <v>0.905546</v>
      </c>
      <c r="AC26" t="n">
        <v>2.31997666666667</v>
      </c>
      <c r="AD26" t="n">
        <v>0</v>
      </c>
      <c r="AE26" t="n">
        <v>0</v>
      </c>
      <c r="AF26" t="n">
        <v>1.024277</v>
      </c>
      <c r="AG26" t="n">
        <v>14.752589</v>
      </c>
      <c r="AH26" t="n">
        <v>27.071688</v>
      </c>
      <c r="AI26" t="n">
        <v>8.379519</v>
      </c>
      <c r="AJ26" t="n">
        <v>0</v>
      </c>
      <c r="AK26" t="n">
        <v>0</v>
      </c>
      <c r="AL26" t="n">
        <v>0</v>
      </c>
    </row>
    <row r="27">
      <c r="A27" t="s">
        <v>102</v>
      </c>
      <c r="B27" t="s">
        <v>130</v>
      </c>
      <c r="C27" t="n">
        <v>0</v>
      </c>
      <c r="D27" t="n">
        <v>1.090352</v>
      </c>
      <c r="E27" t="n">
        <v>0</v>
      </c>
      <c r="F27" t="n">
        <v>7.819702</v>
      </c>
      <c r="G27" t="n">
        <v>0</v>
      </c>
      <c r="H27" t="n">
        <v>0</v>
      </c>
      <c r="I27" t="n">
        <v>0</v>
      </c>
      <c r="J27" t="n">
        <v>8.910054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0.00008636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s">
        <v>102</v>
      </c>
      <c r="B28" t="s">
        <v>131</v>
      </c>
      <c r="C28" t="n">
        <v>30.675019</v>
      </c>
      <c r="D28" t="n">
        <v>2.177858</v>
      </c>
      <c r="E28" t="n">
        <v>0</v>
      </c>
      <c r="F28" t="n">
        <v>4.074375</v>
      </c>
      <c r="G28" t="n">
        <v>0</v>
      </c>
      <c r="H28" t="n">
        <v>0</v>
      </c>
      <c r="I28" t="n">
        <v>5.69628</v>
      </c>
      <c r="J28" t="n">
        <v>8.957796</v>
      </c>
      <c r="K28" t="n">
        <v>5.830402</v>
      </c>
      <c r="L28" t="n">
        <v>0</v>
      </c>
      <c r="M28" t="n">
        <v>2.22879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0.234629</v>
      </c>
      <c r="T28" t="n">
        <v>0</v>
      </c>
      <c r="U28" t="n">
        <v>0.00003548</v>
      </c>
      <c r="V28" t="n">
        <v>0.09959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0.059909</v>
      </c>
      <c r="AG28" t="n">
        <v>0</v>
      </c>
      <c r="AH28" t="n">
        <v>0</v>
      </c>
      <c r="AI28" t="n">
        <v>0.17472</v>
      </c>
      <c r="AJ28" t="n">
        <v>13.751247</v>
      </c>
      <c r="AK28" t="n">
        <v>0.242818</v>
      </c>
      <c r="AL28" t="n">
        <v>-0.014714</v>
      </c>
    </row>
    <row r="29">
      <c r="A29" t="s">
        <v>102</v>
      </c>
      <c r="B29" t="s">
        <v>132</v>
      </c>
      <c r="C29" t="n">
        <v>28.24156</v>
      </c>
      <c r="D29" t="n">
        <v>0.298527</v>
      </c>
      <c r="E29" t="n">
        <v>0</v>
      </c>
      <c r="F29" t="n">
        <v>4.765609</v>
      </c>
      <c r="G29" t="n">
        <v>0</v>
      </c>
      <c r="H29" t="n">
        <v>0.000406</v>
      </c>
      <c r="I29" t="n">
        <v>2.94181</v>
      </c>
      <c r="J29" t="n">
        <v>2.047316</v>
      </c>
      <c r="K29" t="n">
        <v>6.556628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1.75492</v>
      </c>
      <c r="T29" t="n">
        <v>0</v>
      </c>
      <c r="U29" t="n">
        <v>0.00004602</v>
      </c>
      <c r="V29" t="n">
        <v>0.971006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0.051401</v>
      </c>
      <c r="AG29" t="n">
        <v>0</v>
      </c>
      <c r="AH29" t="n">
        <v>0</v>
      </c>
      <c r="AI29" t="n">
        <v>1.70352</v>
      </c>
      <c r="AJ29" t="n">
        <v>20.005166</v>
      </c>
      <c r="AK29" t="n">
        <v>0.000005</v>
      </c>
      <c r="AL29" t="n">
        <v>-0.000105</v>
      </c>
    </row>
    <row r="30">
      <c r="A30" t="s">
        <v>102</v>
      </c>
      <c r="B30" t="s">
        <v>133</v>
      </c>
      <c r="C30" t="n">
        <v>119.713194</v>
      </c>
      <c r="D30" t="n">
        <v>6.508449</v>
      </c>
      <c r="E30" t="n">
        <v>0</v>
      </c>
      <c r="F30" t="n">
        <v>31.936364</v>
      </c>
      <c r="G30" t="n">
        <v>0</v>
      </c>
      <c r="H30" t="n">
        <v>0.026694</v>
      </c>
      <c r="I30" t="n">
        <v>22.586122</v>
      </c>
      <c r="J30" t="n">
        <v>35.850288</v>
      </c>
      <c r="K30" t="n">
        <v>8.094072</v>
      </c>
      <c r="L30" t="n">
        <v>0</v>
      </c>
      <c r="M30" t="n">
        <v>7.282023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0.738537</v>
      </c>
      <c r="T30" t="n">
        <v>0</v>
      </c>
      <c r="U30" t="n">
        <v>0.00005011</v>
      </c>
      <c r="V30" t="n">
        <v>0.248976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0.301739</v>
      </c>
      <c r="AG30" t="n">
        <v>0</v>
      </c>
      <c r="AH30" t="n">
        <v>0</v>
      </c>
      <c r="AI30" t="n">
        <v>0.4368</v>
      </c>
      <c r="AJ30" t="n">
        <v>81.48252</v>
      </c>
      <c r="AK30" t="n">
        <v>2.272692</v>
      </c>
      <c r="AL30" t="n">
        <v>-0.175008</v>
      </c>
    </row>
    <row r="31">
      <c r="A31" t="s">
        <v>102</v>
      </c>
      <c r="B31" t="s">
        <v>134</v>
      </c>
      <c r="C31" t="n">
        <v>223.307986</v>
      </c>
      <c r="D31" t="n">
        <v>0.517484</v>
      </c>
      <c r="E31" t="n">
        <v>7.842091</v>
      </c>
      <c r="F31" t="n">
        <v>-14.992753</v>
      </c>
      <c r="G31" t="n">
        <v>4.613162</v>
      </c>
      <c r="H31" t="n">
        <v>0.179026</v>
      </c>
      <c r="I31" t="n">
        <v>0.962673</v>
      </c>
      <c r="J31" t="n">
        <v>46.259064</v>
      </c>
      <c r="K31" t="n">
        <v>42.509348</v>
      </c>
      <c r="L31" t="n">
        <v>0</v>
      </c>
      <c r="M31" t="n">
        <v>27.335336</v>
      </c>
      <c r="N31" t="n">
        <v>29.524936</v>
      </c>
      <c r="O31" t="n">
        <v>28.269899</v>
      </c>
      <c r="P31" t="n">
        <v>3.233395</v>
      </c>
      <c r="Q31" t="n">
        <v>0.28317</v>
      </c>
      <c r="R31" t="n">
        <v>0</v>
      </c>
      <c r="S31" t="n">
        <v>24.943103</v>
      </c>
      <c r="T31" t="n">
        <v>8.737296</v>
      </c>
      <c r="U31" t="n">
        <v>0.00015418</v>
      </c>
      <c r="V31" t="n">
        <v>25.87611</v>
      </c>
      <c r="W31" t="n">
        <v>0</v>
      </c>
      <c r="X31" t="n">
        <v>-2.917135</v>
      </c>
      <c r="Y31" t="n">
        <v>2.187851</v>
      </c>
      <c r="Z31" t="n">
        <v>24.099958</v>
      </c>
      <c r="AA31" t="n">
        <v>40.1665966666667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4.169941</v>
      </c>
      <c r="AH31" t="n">
        <v>0</v>
      </c>
      <c r="AI31" t="n">
        <v>24.943103</v>
      </c>
      <c r="AJ31" t="n">
        <v>0.592145</v>
      </c>
      <c r="AK31" t="n">
        <v>0.105731</v>
      </c>
      <c r="AL31" t="n">
        <v>-0.144147</v>
      </c>
    </row>
    <row r="32">
      <c r="A32" t="s">
        <v>102</v>
      </c>
      <c r="B32" t="s">
        <v>135</v>
      </c>
      <c r="C32" t="n">
        <v>59.794947</v>
      </c>
      <c r="D32" t="n">
        <v>45.470393</v>
      </c>
      <c r="E32" t="n">
        <v>24.066309</v>
      </c>
      <c r="F32" t="n">
        <v>2.961844</v>
      </c>
      <c r="G32" t="n">
        <v>0</v>
      </c>
      <c r="H32" t="n">
        <v>0</v>
      </c>
      <c r="I32" t="n">
        <v>1.123657</v>
      </c>
      <c r="J32" t="n">
        <v>38.191677</v>
      </c>
      <c r="K32" t="n">
        <v>32.815526</v>
      </c>
      <c r="L32" t="n">
        <v>0.814881</v>
      </c>
      <c r="M32" t="n">
        <v>47.07472</v>
      </c>
      <c r="N32" t="n">
        <v>0</v>
      </c>
      <c r="O32" t="n">
        <v>0.204785</v>
      </c>
      <c r="P32" t="n">
        <v>0</v>
      </c>
      <c r="Q32" t="n">
        <v>0</v>
      </c>
      <c r="R32" t="n">
        <v>0</v>
      </c>
      <c r="S32" t="n">
        <v>1.589203</v>
      </c>
      <c r="T32" t="n">
        <v>5.488436</v>
      </c>
      <c r="U32" t="n">
        <v>0.00001151</v>
      </c>
      <c r="V32" t="n">
        <v>0.986435</v>
      </c>
      <c r="W32" t="n">
        <v>0</v>
      </c>
      <c r="X32" t="n">
        <v>0</v>
      </c>
      <c r="Y32" t="n">
        <v>0</v>
      </c>
      <c r="Z32" t="n">
        <v>0.204785</v>
      </c>
      <c r="AA32" t="n">
        <v>0.353077586206897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1.589203</v>
      </c>
      <c r="AJ32" t="n">
        <v>6.941613</v>
      </c>
      <c r="AK32" t="n">
        <v>5.275539</v>
      </c>
      <c r="AL32" t="n">
        <v>-7.226514</v>
      </c>
    </row>
    <row r="33">
      <c r="A33" t="s">
        <v>102</v>
      </c>
      <c r="B33" t="s">
        <v>136</v>
      </c>
      <c r="C33" t="n">
        <v>14.095062</v>
      </c>
      <c r="D33" t="n">
        <v>0</v>
      </c>
      <c r="E33" t="n">
        <v>60.440842</v>
      </c>
      <c r="F33" t="n">
        <v>-34.520708</v>
      </c>
      <c r="G33" t="n">
        <v>0</v>
      </c>
      <c r="H33" t="n">
        <v>0</v>
      </c>
      <c r="I33" t="n">
        <v>0</v>
      </c>
      <c r="J33" t="n">
        <v>0</v>
      </c>
      <c r="K33" t="n">
        <v>18.549136</v>
      </c>
      <c r="L33" t="n">
        <v>0</v>
      </c>
      <c r="M33" t="n">
        <v>0</v>
      </c>
      <c r="N33" t="n">
        <v>0</v>
      </c>
      <c r="O33" t="n">
        <v>0.030812</v>
      </c>
      <c r="P33" t="n">
        <v>0</v>
      </c>
      <c r="Q33" t="n">
        <v>0</v>
      </c>
      <c r="R33" t="n">
        <v>0</v>
      </c>
      <c r="S33" t="n">
        <v>0.093082</v>
      </c>
      <c r="T33" t="n">
        <v>0.568593</v>
      </c>
      <c r="U33" t="n">
        <v>0.00010971</v>
      </c>
      <c r="V33" t="n">
        <v>0.01364</v>
      </c>
      <c r="W33" t="n">
        <v>-0.029661</v>
      </c>
      <c r="X33" t="n">
        <v>0</v>
      </c>
      <c r="Y33" t="n">
        <v>0</v>
      </c>
      <c r="Z33" t="n">
        <v>0</v>
      </c>
      <c r="AA33" t="n">
        <v>0</v>
      </c>
      <c r="AB33" t="n">
        <v>0.030812</v>
      </c>
      <c r="AC33" t="n">
        <v>0.0880342857142857</v>
      </c>
      <c r="AD33" t="n">
        <v>0</v>
      </c>
      <c r="AE33" t="n">
        <v>0</v>
      </c>
      <c r="AF33" t="n">
        <v>0.065795</v>
      </c>
      <c r="AG33" t="n">
        <v>0</v>
      </c>
      <c r="AH33" t="n">
        <v>0.027288</v>
      </c>
      <c r="AI33" t="n">
        <v>0</v>
      </c>
      <c r="AJ33" t="n">
        <v>20.803233</v>
      </c>
      <c r="AK33" t="n">
        <v>0</v>
      </c>
      <c r="AL33" t="n">
        <v>0</v>
      </c>
    </row>
    <row r="34">
      <c r="A34" t="s">
        <v>102</v>
      </c>
      <c r="B34" t="s">
        <v>137</v>
      </c>
      <c r="C34" t="n">
        <v>22.618645</v>
      </c>
      <c r="D34" t="n">
        <v>1.483895</v>
      </c>
      <c r="E34" t="n">
        <v>4.39777</v>
      </c>
      <c r="F34" t="n">
        <v>46.188436</v>
      </c>
      <c r="G34" t="n">
        <v>0</v>
      </c>
      <c r="H34" t="n">
        <v>0</v>
      </c>
      <c r="I34" t="n">
        <v>0</v>
      </c>
      <c r="J34" t="n">
        <v>4.017008</v>
      </c>
      <c r="K34" t="n">
        <v>30.740944</v>
      </c>
      <c r="L34" t="n">
        <v>0</v>
      </c>
      <c r="M34" t="n">
        <v>0.634855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0.131432</v>
      </c>
      <c r="T34" t="n">
        <v>2.602919</v>
      </c>
      <c r="U34" t="n">
        <v>0.00008391</v>
      </c>
      <c r="V34" t="n">
        <v>0</v>
      </c>
      <c r="W34" t="n">
        <v>-0.045244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0.089807</v>
      </c>
      <c r="AG34" t="n">
        <v>0</v>
      </c>
      <c r="AH34" t="n">
        <v>0.041625</v>
      </c>
      <c r="AI34" t="n">
        <v>0</v>
      </c>
      <c r="AJ34" t="n">
        <v>36.606831</v>
      </c>
      <c r="AK34" t="n">
        <v>0</v>
      </c>
      <c r="AL34" t="n">
        <v>0</v>
      </c>
    </row>
    <row r="35">
      <c r="A35" t="s">
        <v>102</v>
      </c>
      <c r="B35" t="s">
        <v>138</v>
      </c>
      <c r="C35" t="n">
        <v>103.96676</v>
      </c>
      <c r="D35" t="n">
        <v>1.322846</v>
      </c>
      <c r="E35" t="n">
        <v>12.686317</v>
      </c>
      <c r="F35" t="n">
        <v>-21.807312</v>
      </c>
      <c r="G35" t="n">
        <v>0</v>
      </c>
      <c r="H35" t="n">
        <v>0.000059</v>
      </c>
      <c r="I35" t="n">
        <v>0</v>
      </c>
      <c r="J35" t="n">
        <v>22.920756</v>
      </c>
      <c r="K35" t="n">
        <v>11.924937</v>
      </c>
      <c r="L35" t="n">
        <v>0</v>
      </c>
      <c r="M35" t="n">
        <v>9.588556</v>
      </c>
      <c r="N35" t="n">
        <v>28.544516</v>
      </c>
      <c r="O35" t="n">
        <v>0</v>
      </c>
      <c r="P35" t="n">
        <v>0</v>
      </c>
      <c r="Q35" t="n">
        <v>0</v>
      </c>
      <c r="R35" t="n">
        <v>0</v>
      </c>
      <c r="S35" t="n">
        <v>0.84449</v>
      </c>
      <c r="T35" t="n">
        <v>11.42574</v>
      </c>
      <c r="U35" t="n">
        <v>0.00009722</v>
      </c>
      <c r="V35" t="n">
        <v>0</v>
      </c>
      <c r="W35" t="n">
        <v>-0.607121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0.285939</v>
      </c>
      <c r="AG35" t="n">
        <v>0</v>
      </c>
      <c r="AH35" t="n">
        <v>0.558551</v>
      </c>
      <c r="AI35" t="n">
        <v>0</v>
      </c>
      <c r="AJ35" t="n">
        <v>11.526678</v>
      </c>
      <c r="AK35" t="n">
        <v>0</v>
      </c>
      <c r="AL35" t="n">
        <v>0</v>
      </c>
    </row>
    <row r="36">
      <c r="A36" t="s">
        <v>102</v>
      </c>
      <c r="B36" t="s">
        <v>139</v>
      </c>
      <c r="C36" t="n">
        <v>31.214543</v>
      </c>
      <c r="D36" t="n">
        <v>3.56013</v>
      </c>
      <c r="E36" t="n">
        <v>3.46373</v>
      </c>
      <c r="F36" t="n">
        <v>5.360249</v>
      </c>
      <c r="G36" t="n">
        <v>1.950883</v>
      </c>
      <c r="H36" t="n">
        <v>0.00857</v>
      </c>
      <c r="I36" t="n">
        <v>0</v>
      </c>
      <c r="J36" t="n">
        <v>26.728652</v>
      </c>
      <c r="K36" t="n">
        <v>6.71792</v>
      </c>
      <c r="L36" t="n">
        <v>0</v>
      </c>
      <c r="M36" t="n">
        <v>4.231507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0.379329</v>
      </c>
      <c r="T36" t="n">
        <v>2.636546</v>
      </c>
      <c r="U36" t="n">
        <v>0.00010243</v>
      </c>
      <c r="V36" t="n">
        <v>0</v>
      </c>
      <c r="W36" t="n">
        <v>-0.321195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0.08383</v>
      </c>
      <c r="AG36" t="n">
        <v>0</v>
      </c>
      <c r="AH36" t="n">
        <v>0.295499</v>
      </c>
      <c r="AI36" t="n">
        <v>0</v>
      </c>
      <c r="AJ36" t="n">
        <v>1.266438</v>
      </c>
      <c r="AK36" t="n">
        <v>0</v>
      </c>
      <c r="AL36" t="n">
        <v>0</v>
      </c>
    </row>
    <row r="37">
      <c r="A37" t="s">
        <v>102</v>
      </c>
      <c r="B37" t="s">
        <v>140</v>
      </c>
      <c r="C37" t="n">
        <v>534.165959</v>
      </c>
      <c r="D37" t="n">
        <v>46.892363</v>
      </c>
      <c r="E37" t="n">
        <v>186.389673</v>
      </c>
      <c r="F37" t="n">
        <v>52.648744</v>
      </c>
      <c r="G37" t="n">
        <v>0</v>
      </c>
      <c r="H37" t="n">
        <v>0.003981</v>
      </c>
      <c r="I37" t="n">
        <v>5.287901</v>
      </c>
      <c r="J37" t="n">
        <v>420.815881</v>
      </c>
      <c r="K37" t="n">
        <v>128.867681</v>
      </c>
      <c r="L37" t="n">
        <v>0</v>
      </c>
      <c r="M37" t="n">
        <v>60.077568</v>
      </c>
      <c r="N37" t="n">
        <v>62.447533</v>
      </c>
      <c r="O37" t="n">
        <v>8.096738</v>
      </c>
      <c r="P37" t="n">
        <v>0</v>
      </c>
      <c r="Q37" t="n">
        <v>0</v>
      </c>
      <c r="R37" t="n">
        <v>0</v>
      </c>
      <c r="S37" t="n">
        <v>97.892893</v>
      </c>
      <c r="T37" t="n">
        <v>68.363358</v>
      </c>
      <c r="U37" t="n">
        <v>0.00007012</v>
      </c>
      <c r="V37" t="n">
        <v>13.332569</v>
      </c>
      <c r="W37" t="n">
        <v>-29.739164</v>
      </c>
      <c r="X37" t="n">
        <v>-8.070534</v>
      </c>
      <c r="Y37" t="n">
        <v>6.052901</v>
      </c>
      <c r="Z37" t="n">
        <v>7.697203</v>
      </c>
      <c r="AA37" t="n">
        <v>14.6682285714286</v>
      </c>
      <c r="AB37" t="n">
        <v>0.12863</v>
      </c>
      <c r="AC37" t="n">
        <v>0.367514285714286</v>
      </c>
      <c r="AD37" t="n">
        <v>0.270906</v>
      </c>
      <c r="AE37" t="n">
        <v>0.700863550135501</v>
      </c>
      <c r="AF37" t="n">
        <v>1.394136</v>
      </c>
      <c r="AG37" t="n">
        <v>0</v>
      </c>
      <c r="AH37" t="n">
        <v>27.360031</v>
      </c>
      <c r="AI37" t="n">
        <v>69.138725</v>
      </c>
      <c r="AJ37" t="n">
        <v>0</v>
      </c>
      <c r="AK37" t="n">
        <v>0</v>
      </c>
      <c r="AL37" t="n">
        <v>0</v>
      </c>
    </row>
    <row r="38">
      <c r="A38" t="s">
        <v>102</v>
      </c>
      <c r="B38" t="s">
        <v>141</v>
      </c>
      <c r="C38" t="n">
        <v>12.327529</v>
      </c>
      <c r="D38" t="n">
        <v>5.68682</v>
      </c>
      <c r="E38" t="n">
        <v>0</v>
      </c>
      <c r="F38" t="n">
        <v>2.569471</v>
      </c>
      <c r="G38" t="n">
        <v>0</v>
      </c>
      <c r="H38" t="n">
        <v>0</v>
      </c>
      <c r="I38" t="n">
        <v>0</v>
      </c>
      <c r="J38" t="n">
        <v>4.444924</v>
      </c>
      <c r="K38" t="n">
        <v>11.746441</v>
      </c>
      <c r="L38" t="n">
        <v>0</v>
      </c>
      <c r="M38" t="n">
        <v>1.959037</v>
      </c>
      <c r="N38" t="n">
        <v>0</v>
      </c>
      <c r="O38" t="n">
        <v>2.49143</v>
      </c>
      <c r="P38" t="n">
        <v>0</v>
      </c>
      <c r="Q38" t="n">
        <v>0.060149</v>
      </c>
      <c r="R38" t="n">
        <v>0.008757</v>
      </c>
      <c r="S38" t="n">
        <v>5.769449</v>
      </c>
      <c r="T38" t="n">
        <v>0.374774</v>
      </c>
      <c r="U38" t="n">
        <v>0.00003287</v>
      </c>
      <c r="V38" t="n">
        <v>0.670622</v>
      </c>
      <c r="W38" t="n">
        <v>-6.271141</v>
      </c>
      <c r="X38" t="n">
        <v>0</v>
      </c>
      <c r="Y38" t="n">
        <v>0</v>
      </c>
      <c r="Z38" t="n">
        <v>2.491101</v>
      </c>
      <c r="AA38" t="n">
        <v>4.28189262931035</v>
      </c>
      <c r="AB38" t="n">
        <v>0.000329</v>
      </c>
      <c r="AC38" t="n">
        <v>0.00094</v>
      </c>
      <c r="AD38" t="n">
        <v>0</v>
      </c>
      <c r="AE38" t="n">
        <v>0</v>
      </c>
      <c r="AF38" t="n">
        <v>0</v>
      </c>
      <c r="AG38" t="n">
        <v>0</v>
      </c>
      <c r="AH38" t="n">
        <v>5.769449</v>
      </c>
      <c r="AI38" t="n">
        <v>0</v>
      </c>
      <c r="AJ38" t="n">
        <v>0</v>
      </c>
      <c r="AK38" t="n">
        <v>0</v>
      </c>
      <c r="AL38" t="n">
        <v>0</v>
      </c>
    </row>
    <row r="39">
      <c r="A39" t="s">
        <v>180</v>
      </c>
      <c r="B39" t="s">
        <v>105</v>
      </c>
      <c r="C39" t="n">
        <v>131.712636</v>
      </c>
      <c r="D39" t="n">
        <v>0.521112</v>
      </c>
      <c r="E39" t="n">
        <v>2.299637</v>
      </c>
      <c r="F39" t="n">
        <v>-18.208953</v>
      </c>
      <c r="G39" t="n">
        <v>-13.644687</v>
      </c>
      <c r="H39" t="n">
        <v>0.091438</v>
      </c>
      <c r="I39" t="n">
        <v>26.978019</v>
      </c>
      <c r="J39" t="n">
        <v>0</v>
      </c>
      <c r="K39" t="n">
        <v>43.808617</v>
      </c>
      <c r="L39" t="n">
        <v>0</v>
      </c>
      <c r="M39" t="n">
        <v>35.7189</v>
      </c>
      <c r="N39" t="n">
        <v>0</v>
      </c>
      <c r="O39" t="n">
        <v>6.687609</v>
      </c>
      <c r="P39" t="n">
        <v>0</v>
      </c>
      <c r="Q39" t="n">
        <v>0</v>
      </c>
      <c r="R39" t="n">
        <v>0</v>
      </c>
      <c r="S39" t="n">
        <v>2.393207</v>
      </c>
      <c r="T39" t="n">
        <v>4.385035</v>
      </c>
      <c r="U39" t="n">
        <v>0.00015214</v>
      </c>
      <c r="V39" t="n">
        <v>0</v>
      </c>
      <c r="W39" t="n">
        <v>-0.145136</v>
      </c>
      <c r="X39" t="n">
        <v>-0.588646</v>
      </c>
      <c r="Y39" t="n">
        <v>0.441485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0.079682</v>
      </c>
      <c r="AG39" t="n">
        <v>6.687609</v>
      </c>
      <c r="AH39" t="n">
        <v>0.133525</v>
      </c>
      <c r="AI39" t="n">
        <v>2.18</v>
      </c>
      <c r="AJ39" t="n">
        <v>8.213607</v>
      </c>
      <c r="AK39" t="n">
        <v>10.877347</v>
      </c>
      <c r="AL39" t="n">
        <v>-8.892354</v>
      </c>
    </row>
    <row r="40">
      <c r="A40" t="s">
        <v>180</v>
      </c>
      <c r="B40" t="s">
        <v>106</v>
      </c>
      <c r="C40" t="n">
        <v>141.934298</v>
      </c>
      <c r="D40" t="n">
        <v>0.823065</v>
      </c>
      <c r="E40" t="n">
        <v>6.150894</v>
      </c>
      <c r="F40" t="n">
        <v>-43.899748</v>
      </c>
      <c r="G40" t="n">
        <v>0</v>
      </c>
      <c r="H40" t="n">
        <v>0.024367</v>
      </c>
      <c r="I40" t="n">
        <v>0.504509</v>
      </c>
      <c r="J40" t="n">
        <v>25.497276</v>
      </c>
      <c r="K40" t="n">
        <v>21.896684</v>
      </c>
      <c r="L40" t="n">
        <v>0</v>
      </c>
      <c r="M40" t="n">
        <v>27.927678</v>
      </c>
      <c r="N40" t="n">
        <v>0</v>
      </c>
      <c r="O40" t="n">
        <v>14.412126</v>
      </c>
      <c r="P40" t="n">
        <v>2.565192</v>
      </c>
      <c r="Q40" t="n">
        <v>0</v>
      </c>
      <c r="R40" t="n">
        <v>0.039455</v>
      </c>
      <c r="S40" t="n">
        <v>12.567909</v>
      </c>
      <c r="T40" t="n">
        <v>2.522381</v>
      </c>
      <c r="U40" t="n">
        <v>0.00011744</v>
      </c>
      <c r="V40" t="n">
        <v>5.631087</v>
      </c>
      <c r="W40" t="n">
        <v>-2.238816</v>
      </c>
      <c r="X40" t="n">
        <v>-2.84101</v>
      </c>
      <c r="Y40" t="n">
        <v>2.130758</v>
      </c>
      <c r="Z40" t="n">
        <v>8.726711</v>
      </c>
      <c r="AA40" t="n">
        <v>14.7983339655172</v>
      </c>
      <c r="AB40" t="n">
        <v>0.088057</v>
      </c>
      <c r="AC40" t="n">
        <v>0.209659523809524</v>
      </c>
      <c r="AD40" t="n">
        <v>0</v>
      </c>
      <c r="AE40" t="n">
        <v>0</v>
      </c>
      <c r="AF40" t="n">
        <v>3.966497</v>
      </c>
      <c r="AG40" t="n">
        <v>5.597358</v>
      </c>
      <c r="AH40" t="n">
        <v>2.059711</v>
      </c>
      <c r="AI40" t="n">
        <v>6.5417</v>
      </c>
      <c r="AJ40" t="n">
        <v>0</v>
      </c>
      <c r="AK40" t="n">
        <v>0</v>
      </c>
      <c r="AL40" t="n">
        <v>0</v>
      </c>
    </row>
    <row r="41">
      <c r="A41" t="s">
        <v>180</v>
      </c>
      <c r="B41" t="s">
        <v>107</v>
      </c>
      <c r="C41" t="n">
        <v>0</v>
      </c>
      <c r="D41" t="n">
        <v>0.417784</v>
      </c>
      <c r="E41" t="n">
        <v>0</v>
      </c>
      <c r="F41" t="n">
        <v>5.533739</v>
      </c>
      <c r="G41" t="n">
        <v>0</v>
      </c>
      <c r="H41" t="n">
        <v>0</v>
      </c>
      <c r="I41" t="n">
        <v>0</v>
      </c>
      <c r="J41" t="n">
        <v>5.951523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0.00009362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s">
        <v>180</v>
      </c>
      <c r="B42" t="s">
        <v>108</v>
      </c>
      <c r="C42" t="n">
        <v>71.900756</v>
      </c>
      <c r="D42" t="n">
        <v>0.551741</v>
      </c>
      <c r="E42" t="n">
        <v>0.074549</v>
      </c>
      <c r="F42" t="n">
        <v>-0.392325</v>
      </c>
      <c r="G42" t="n">
        <v>0</v>
      </c>
      <c r="H42" t="n">
        <v>0.0027</v>
      </c>
      <c r="I42" t="n">
        <v>16.429958</v>
      </c>
      <c r="J42" t="n">
        <v>0</v>
      </c>
      <c r="K42" t="n">
        <v>2.37781</v>
      </c>
      <c r="L42" t="n">
        <v>0</v>
      </c>
      <c r="M42" t="n">
        <v>29.666223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2.33341</v>
      </c>
      <c r="T42" t="n">
        <v>2.467623</v>
      </c>
      <c r="U42" t="n">
        <v>0.00010726</v>
      </c>
      <c r="V42" t="n">
        <v>0.821621</v>
      </c>
      <c r="W42" t="n">
        <v>-0.969533</v>
      </c>
      <c r="X42" t="n">
        <v>-3.454816</v>
      </c>
      <c r="Y42" t="n">
        <v>2.591112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0.89197</v>
      </c>
      <c r="AI42" t="n">
        <v>1.44144</v>
      </c>
      <c r="AJ42" t="n">
        <v>18.549895</v>
      </c>
      <c r="AK42" t="n">
        <v>7.743303</v>
      </c>
      <c r="AL42" t="n">
        <v>-5.603</v>
      </c>
    </row>
    <row r="43">
      <c r="A43" t="s">
        <v>180</v>
      </c>
      <c r="B43" t="s">
        <v>109</v>
      </c>
      <c r="C43" t="n">
        <v>97.710363</v>
      </c>
      <c r="D43" t="n">
        <v>0.008894</v>
      </c>
      <c r="E43" t="n">
        <v>2.089455</v>
      </c>
      <c r="F43" t="n">
        <v>-28.103959</v>
      </c>
      <c r="G43" t="n">
        <v>0.570706</v>
      </c>
      <c r="H43" t="n">
        <v>0.194436</v>
      </c>
      <c r="I43" t="n">
        <v>1.21153</v>
      </c>
      <c r="J43" t="n">
        <v>0</v>
      </c>
      <c r="K43" t="n">
        <v>6.382384</v>
      </c>
      <c r="L43" t="n">
        <v>0</v>
      </c>
      <c r="M43" t="n">
        <v>14.602958</v>
      </c>
      <c r="N43" t="n">
        <v>36.261576</v>
      </c>
      <c r="O43" t="n">
        <v>5.772524</v>
      </c>
      <c r="P43" t="n">
        <v>0</v>
      </c>
      <c r="Q43" t="n">
        <v>0</v>
      </c>
      <c r="R43" t="n">
        <v>0</v>
      </c>
      <c r="S43" t="n">
        <v>5.148472</v>
      </c>
      <c r="T43" t="n">
        <v>2.493861</v>
      </c>
      <c r="U43" t="n">
        <v>0.00018125</v>
      </c>
      <c r="V43" t="n">
        <v>3.790171</v>
      </c>
      <c r="W43" t="n">
        <v>-1.269259</v>
      </c>
      <c r="X43" t="n">
        <v>-0.960807</v>
      </c>
      <c r="Y43" t="n">
        <v>0.720605</v>
      </c>
      <c r="Z43" t="n">
        <v>5.655706</v>
      </c>
      <c r="AA43" t="n">
        <v>9.64782265394089</v>
      </c>
      <c r="AB43" t="n">
        <v>0.071222</v>
      </c>
      <c r="AC43" t="n">
        <v>0.16957619047619</v>
      </c>
      <c r="AD43" t="n">
        <v>0</v>
      </c>
      <c r="AE43" t="n">
        <v>0</v>
      </c>
      <c r="AF43" t="n">
        <v>0</v>
      </c>
      <c r="AG43" t="n">
        <v>0</v>
      </c>
      <c r="AH43" t="n">
        <v>1.167718</v>
      </c>
      <c r="AI43" t="n">
        <v>3.980754</v>
      </c>
      <c r="AJ43" t="n">
        <v>0.814779</v>
      </c>
      <c r="AK43" t="n">
        <v>0.645367</v>
      </c>
      <c r="AL43" t="n">
        <v>-0.88438</v>
      </c>
    </row>
    <row r="44">
      <c r="A44" t="s">
        <v>180</v>
      </c>
      <c r="B44" t="s">
        <v>110</v>
      </c>
      <c r="C44" t="n">
        <v>946.80668</v>
      </c>
      <c r="D44" t="n">
        <v>42.475085</v>
      </c>
      <c r="E44" t="n">
        <v>185.211646</v>
      </c>
      <c r="F44" t="n">
        <v>20.498944</v>
      </c>
      <c r="G44" t="n">
        <v>0</v>
      </c>
      <c r="H44" t="n">
        <v>1.753243</v>
      </c>
      <c r="I44" t="n">
        <v>15.126062</v>
      </c>
      <c r="J44" t="n">
        <v>294.323086</v>
      </c>
      <c r="K44" t="n">
        <v>387.784859</v>
      </c>
      <c r="L44" t="n">
        <v>0</v>
      </c>
      <c r="M44" t="n">
        <v>322.195358</v>
      </c>
      <c r="N44" t="n">
        <v>0</v>
      </c>
      <c r="O44" t="n">
        <v>58.606707</v>
      </c>
      <c r="P44" t="n">
        <v>0</v>
      </c>
      <c r="Q44" t="n">
        <v>0</v>
      </c>
      <c r="R44" t="n">
        <v>0</v>
      </c>
      <c r="S44" t="n">
        <v>160.435335</v>
      </c>
      <c r="T44" t="n">
        <v>29.959799</v>
      </c>
      <c r="U44" t="n">
        <v>0.00014299</v>
      </c>
      <c r="V44" t="n">
        <v>2.989208</v>
      </c>
      <c r="W44" t="n">
        <v>-69.684499</v>
      </c>
      <c r="X44" t="n">
        <v>-20.883063</v>
      </c>
      <c r="Y44" t="n">
        <v>15.662297</v>
      </c>
      <c r="Z44" t="n">
        <v>8.163847</v>
      </c>
      <c r="AA44" t="n">
        <v>14.0378309277504</v>
      </c>
      <c r="AB44" t="n">
        <v>0.293725</v>
      </c>
      <c r="AC44" t="n">
        <v>0.699345238095238</v>
      </c>
      <c r="AD44" t="n">
        <v>0.132043</v>
      </c>
      <c r="AE44" t="n">
        <v>0.322056097560976</v>
      </c>
      <c r="AF44" t="n">
        <v>95.174933</v>
      </c>
      <c r="AG44" t="n">
        <v>50.017091</v>
      </c>
      <c r="AH44" t="n">
        <v>64.109739</v>
      </c>
      <c r="AI44" t="n">
        <v>1.150663</v>
      </c>
      <c r="AJ44" t="n">
        <v>0.641807</v>
      </c>
      <c r="AK44" t="n">
        <v>1.747922</v>
      </c>
      <c r="AL44" t="n">
        <v>-2.676568</v>
      </c>
    </row>
    <row r="45">
      <c r="A45" t="s">
        <v>180</v>
      </c>
      <c r="B45" t="s">
        <v>111</v>
      </c>
      <c r="C45" t="n">
        <v>0</v>
      </c>
      <c r="D45" t="n">
        <v>0.84256</v>
      </c>
      <c r="E45" t="n">
        <v>0</v>
      </c>
      <c r="F45" t="n">
        <v>1.473123</v>
      </c>
      <c r="G45" t="n">
        <v>0</v>
      </c>
      <c r="H45" t="n">
        <v>0</v>
      </c>
      <c r="I45" t="n">
        <v>0</v>
      </c>
      <c r="J45" t="n">
        <v>2.315684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0.00011223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s">
        <v>180</v>
      </c>
      <c r="B46" t="s">
        <v>112</v>
      </c>
      <c r="C46" t="n">
        <v>0</v>
      </c>
      <c r="D46" t="n">
        <v>2.677314</v>
      </c>
      <c r="E46" t="n">
        <v>0</v>
      </c>
      <c r="F46" t="n">
        <v>9.132438</v>
      </c>
      <c r="G46" t="n">
        <v>0</v>
      </c>
      <c r="H46" t="n">
        <v>0</v>
      </c>
      <c r="I46" t="n">
        <v>0</v>
      </c>
      <c r="J46" t="n">
        <v>11.809752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0.00013361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s">
        <v>180</v>
      </c>
      <c r="B47" t="s">
        <v>113</v>
      </c>
      <c r="C47" t="n">
        <v>20.626122</v>
      </c>
      <c r="D47" t="n">
        <v>1.862595</v>
      </c>
      <c r="E47" t="n">
        <v>6.849368</v>
      </c>
      <c r="F47" t="n">
        <v>-5.992391</v>
      </c>
      <c r="G47" t="n">
        <v>0</v>
      </c>
      <c r="H47" t="n">
        <v>0.050819</v>
      </c>
      <c r="I47" t="n">
        <v>0</v>
      </c>
      <c r="J47" t="n">
        <v>7.157267</v>
      </c>
      <c r="K47" t="n">
        <v>2.766005</v>
      </c>
      <c r="L47" t="n">
        <v>0</v>
      </c>
      <c r="M47" t="n">
        <v>7.846514</v>
      </c>
      <c r="N47" t="n">
        <v>0</v>
      </c>
      <c r="O47" t="n">
        <v>1.208506</v>
      </c>
      <c r="P47" t="n">
        <v>4.025923</v>
      </c>
      <c r="Q47" t="n">
        <v>0</v>
      </c>
      <c r="R47" t="n">
        <v>0.29066</v>
      </c>
      <c r="S47" t="n">
        <v>0</v>
      </c>
      <c r="T47" t="n">
        <v>0</v>
      </c>
      <c r="U47" t="n">
        <v>0.00013254</v>
      </c>
      <c r="V47" t="n">
        <v>0.726804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1.208506</v>
      </c>
      <c r="AC47" t="n">
        <v>3.18649238095238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s">
        <v>180</v>
      </c>
      <c r="B48" t="s">
        <v>114</v>
      </c>
      <c r="C48" t="n">
        <v>0</v>
      </c>
      <c r="D48" t="n">
        <v>3.295606</v>
      </c>
      <c r="E48" t="n">
        <v>0</v>
      </c>
      <c r="F48" t="n">
        <v>2.73452</v>
      </c>
      <c r="G48" t="n">
        <v>0</v>
      </c>
      <c r="H48" t="n">
        <v>0</v>
      </c>
      <c r="I48" t="n">
        <v>0</v>
      </c>
      <c r="J48" t="n">
        <v>6.030127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0.00011233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s">
        <v>180</v>
      </c>
      <c r="B49" t="s">
        <v>115</v>
      </c>
      <c r="C49" t="n">
        <v>0</v>
      </c>
      <c r="D49" t="n">
        <v>31.286184</v>
      </c>
      <c r="E49" t="n">
        <v>0</v>
      </c>
      <c r="F49" t="n">
        <v>19.934936</v>
      </c>
      <c r="G49" t="n">
        <v>0</v>
      </c>
      <c r="H49" t="n">
        <v>0</v>
      </c>
      <c r="I49" t="n">
        <v>0</v>
      </c>
      <c r="J49" t="n">
        <v>51.22112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0.00005521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s">
        <v>180</v>
      </c>
      <c r="B50" t="s">
        <v>116</v>
      </c>
      <c r="C50" t="n">
        <v>37.91651</v>
      </c>
      <c r="D50" t="n">
        <v>4.864117</v>
      </c>
      <c r="E50" t="n">
        <v>50.416894</v>
      </c>
      <c r="F50" t="n">
        <v>-5.33435</v>
      </c>
      <c r="G50" t="n">
        <v>0</v>
      </c>
      <c r="H50" t="n">
        <v>0.005622</v>
      </c>
      <c r="I50" t="n">
        <v>0</v>
      </c>
      <c r="J50" t="n">
        <v>50.861161</v>
      </c>
      <c r="K50" t="n">
        <v>13.597175</v>
      </c>
      <c r="L50" t="n">
        <v>0</v>
      </c>
      <c r="M50" t="n">
        <v>18.769116</v>
      </c>
      <c r="N50" t="n">
        <v>0</v>
      </c>
      <c r="O50" t="n">
        <v>2.412202</v>
      </c>
      <c r="P50" t="n">
        <v>2.187242</v>
      </c>
      <c r="Q50" t="n">
        <v>0</v>
      </c>
      <c r="R50" t="n">
        <v>0.050433</v>
      </c>
      <c r="S50" t="n">
        <v>0.420868</v>
      </c>
      <c r="T50" t="n">
        <v>0.016817</v>
      </c>
      <c r="U50" t="n">
        <v>0.00012362</v>
      </c>
      <c r="V50" t="n">
        <v>1.04184</v>
      </c>
      <c r="W50" t="n">
        <v>-0.457465</v>
      </c>
      <c r="X50" t="n">
        <v>0</v>
      </c>
      <c r="Y50" t="n">
        <v>0</v>
      </c>
      <c r="Z50" t="n">
        <v>0.054856</v>
      </c>
      <c r="AA50" t="n">
        <v>0.114283333333333</v>
      </c>
      <c r="AB50" t="n">
        <v>2.357346</v>
      </c>
      <c r="AC50" t="n">
        <v>6.64248476190476</v>
      </c>
      <c r="AD50" t="n">
        <v>0</v>
      </c>
      <c r="AE50" t="n">
        <v>0</v>
      </c>
      <c r="AF50" t="n">
        <v>0</v>
      </c>
      <c r="AG50" t="n">
        <v>0</v>
      </c>
      <c r="AH50" t="n">
        <v>0.420868</v>
      </c>
      <c r="AI50" t="n">
        <v>0</v>
      </c>
      <c r="AJ50" t="n">
        <v>0</v>
      </c>
      <c r="AK50" t="n">
        <v>0</v>
      </c>
      <c r="AL50" t="n">
        <v>0</v>
      </c>
    </row>
    <row r="51">
      <c r="A51" t="s">
        <v>180</v>
      </c>
      <c r="B51" t="s">
        <v>117</v>
      </c>
      <c r="C51" t="n">
        <v>298.944121</v>
      </c>
      <c r="D51" t="n">
        <v>247.363057</v>
      </c>
      <c r="E51" t="n">
        <v>72.349873</v>
      </c>
      <c r="F51" t="n">
        <v>43.011167</v>
      </c>
      <c r="G51" t="n">
        <v>-14.630453</v>
      </c>
      <c r="H51" t="n">
        <v>0</v>
      </c>
      <c r="I51" t="n">
        <v>6.798998</v>
      </c>
      <c r="J51" t="n">
        <v>11.441055</v>
      </c>
      <c r="K51" t="n">
        <v>289.971124</v>
      </c>
      <c r="L51" t="n">
        <v>18.976139</v>
      </c>
      <c r="M51" t="n">
        <v>309.229611</v>
      </c>
      <c r="N51" t="n">
        <v>0</v>
      </c>
      <c r="O51" t="n">
        <v>25.428122</v>
      </c>
      <c r="P51" t="n">
        <v>0</v>
      </c>
      <c r="Q51" t="n">
        <v>0</v>
      </c>
      <c r="R51" t="n">
        <v>0</v>
      </c>
      <c r="S51" t="n">
        <v>40.246442</v>
      </c>
      <c r="T51" t="n">
        <v>7.659094</v>
      </c>
      <c r="U51" t="n">
        <v>0.00001589</v>
      </c>
      <c r="V51" t="n">
        <v>7.954908</v>
      </c>
      <c r="W51" t="n">
        <v>-41.407894</v>
      </c>
      <c r="X51" t="n">
        <v>-25.945846</v>
      </c>
      <c r="Y51" t="n">
        <v>19.459384</v>
      </c>
      <c r="Z51" t="n">
        <v>25.428122</v>
      </c>
      <c r="AA51" t="n">
        <v>45.4073607142857</v>
      </c>
      <c r="AB51" t="n">
        <v>0</v>
      </c>
      <c r="AC51" t="n">
        <v>0</v>
      </c>
      <c r="AD51" t="n">
        <v>0</v>
      </c>
      <c r="AE51" t="n">
        <v>0</v>
      </c>
      <c r="AF51" t="n">
        <v>0.000703</v>
      </c>
      <c r="AG51" t="n">
        <v>0</v>
      </c>
      <c r="AH51" t="n">
        <v>38.095263</v>
      </c>
      <c r="AI51" t="n">
        <v>2.150476</v>
      </c>
      <c r="AJ51" t="n">
        <v>16.265088</v>
      </c>
      <c r="AK51" t="n">
        <v>3.241184</v>
      </c>
      <c r="AL51" t="n">
        <v>-5.063797</v>
      </c>
    </row>
    <row r="52">
      <c r="A52" t="s">
        <v>180</v>
      </c>
      <c r="B52" t="s">
        <v>118</v>
      </c>
      <c r="C52" t="n">
        <v>126.354368</v>
      </c>
      <c r="D52" t="n">
        <v>8.669876</v>
      </c>
      <c r="E52" t="n">
        <v>159.044322</v>
      </c>
      <c r="F52" t="n">
        <v>2.348183</v>
      </c>
      <c r="G52" t="n">
        <v>3.318146</v>
      </c>
      <c r="H52" t="n">
        <v>0</v>
      </c>
      <c r="I52" t="n">
        <v>0</v>
      </c>
      <c r="J52" t="n">
        <v>19.605417</v>
      </c>
      <c r="K52" t="n">
        <v>192.398619</v>
      </c>
      <c r="L52" t="n">
        <v>0</v>
      </c>
      <c r="M52" t="n">
        <v>19.986966</v>
      </c>
      <c r="N52" t="n">
        <v>25.087162</v>
      </c>
      <c r="O52" t="n">
        <v>1.839642</v>
      </c>
      <c r="P52" t="n">
        <v>4.301602</v>
      </c>
      <c r="Q52" t="n">
        <v>0</v>
      </c>
      <c r="R52" t="n">
        <v>0</v>
      </c>
      <c r="S52" t="n">
        <v>8.090203</v>
      </c>
      <c r="T52" t="n">
        <v>11.035377</v>
      </c>
      <c r="U52" t="n">
        <v>0.00010126</v>
      </c>
      <c r="V52" t="n">
        <v>0.782168</v>
      </c>
      <c r="W52" t="n">
        <v>-2.171586</v>
      </c>
      <c r="X52" t="n">
        <v>0</v>
      </c>
      <c r="Y52" t="n">
        <v>0</v>
      </c>
      <c r="Z52" t="n">
        <v>1.803561</v>
      </c>
      <c r="AA52" t="n">
        <v>3.72528095238095</v>
      </c>
      <c r="AB52" t="n">
        <v>0.036081</v>
      </c>
      <c r="AC52" t="n">
        <v>0.0904266666666667</v>
      </c>
      <c r="AD52" t="n">
        <v>0</v>
      </c>
      <c r="AE52" t="n">
        <v>0</v>
      </c>
      <c r="AF52" t="n">
        <v>5.720126</v>
      </c>
      <c r="AG52" t="n">
        <v>0</v>
      </c>
      <c r="AH52" t="n">
        <v>1.997859</v>
      </c>
      <c r="AI52" t="n">
        <v>0.372219</v>
      </c>
      <c r="AJ52" t="n">
        <v>12.9252</v>
      </c>
      <c r="AK52" t="n">
        <v>0</v>
      </c>
      <c r="AL52" t="n">
        <v>0</v>
      </c>
    </row>
    <row r="53">
      <c r="A53" t="s">
        <v>180</v>
      </c>
      <c r="B53" t="s">
        <v>119</v>
      </c>
      <c r="C53" t="n">
        <v>614.149235</v>
      </c>
      <c r="D53" t="n">
        <v>1.266811</v>
      </c>
      <c r="E53" t="n">
        <v>88.585317</v>
      </c>
      <c r="F53" t="n">
        <v>-11.23536</v>
      </c>
      <c r="G53" t="n">
        <v>0</v>
      </c>
      <c r="H53" t="n">
        <v>0.058719</v>
      </c>
      <c r="I53" t="n">
        <v>39.677041</v>
      </c>
      <c r="J53" t="n">
        <v>97.019013</v>
      </c>
      <c r="K53" t="n">
        <v>101.861218</v>
      </c>
      <c r="L53" t="n">
        <v>0</v>
      </c>
      <c r="M53" t="n">
        <v>85.874738</v>
      </c>
      <c r="N53" t="n">
        <v>333.442317</v>
      </c>
      <c r="O53" t="n">
        <v>6.240256</v>
      </c>
      <c r="P53" t="n">
        <v>0</v>
      </c>
      <c r="Q53" t="n">
        <v>0</v>
      </c>
      <c r="R53" t="n">
        <v>0</v>
      </c>
      <c r="S53" t="n">
        <v>8.80682</v>
      </c>
      <c r="T53" t="n">
        <v>12.149015</v>
      </c>
      <c r="U53" t="n">
        <v>0.0000964</v>
      </c>
      <c r="V53" t="n">
        <v>2.022522</v>
      </c>
      <c r="W53" t="n">
        <v>-7.392836</v>
      </c>
      <c r="X53" t="n">
        <v>-5.45694</v>
      </c>
      <c r="Y53" t="n">
        <v>4.092705</v>
      </c>
      <c r="Z53" t="n">
        <v>4.11536</v>
      </c>
      <c r="AA53" t="n">
        <v>7.11640554187192</v>
      </c>
      <c r="AB53" t="n">
        <v>0</v>
      </c>
      <c r="AC53" t="n">
        <v>0</v>
      </c>
      <c r="AD53" t="n">
        <v>0</v>
      </c>
      <c r="AE53" t="n">
        <v>0</v>
      </c>
      <c r="AF53" t="n">
        <v>0.436414</v>
      </c>
      <c r="AG53" t="n">
        <v>2.124896</v>
      </c>
      <c r="AH53" t="n">
        <v>6.801409</v>
      </c>
      <c r="AI53" t="n">
        <v>1.568998</v>
      </c>
      <c r="AJ53" t="n">
        <v>18.081618</v>
      </c>
      <c r="AK53" t="n">
        <v>2.847362</v>
      </c>
      <c r="AL53" t="n">
        <v>-4.535035</v>
      </c>
    </row>
    <row r="54">
      <c r="A54" t="s">
        <v>180</v>
      </c>
      <c r="B54" t="s">
        <v>120</v>
      </c>
      <c r="C54" t="n">
        <v>68.088884</v>
      </c>
      <c r="D54" t="n">
        <v>19.757707</v>
      </c>
      <c r="E54" t="n">
        <v>19.099723</v>
      </c>
      <c r="F54" t="n">
        <v>3.948365</v>
      </c>
      <c r="G54" t="n">
        <v>0</v>
      </c>
      <c r="H54" t="n">
        <v>0</v>
      </c>
      <c r="I54" t="n">
        <v>0.830013</v>
      </c>
      <c r="J54" t="n">
        <v>55.860755</v>
      </c>
      <c r="K54" t="n">
        <v>33.22913</v>
      </c>
      <c r="L54" t="n">
        <v>0</v>
      </c>
      <c r="M54" t="n">
        <v>12.749187</v>
      </c>
      <c r="N54" t="n">
        <v>0</v>
      </c>
      <c r="O54" t="n">
        <v>7.749033</v>
      </c>
      <c r="P54" t="n">
        <v>0</v>
      </c>
      <c r="Q54" t="n">
        <v>0.324562</v>
      </c>
      <c r="R54" t="n">
        <v>0.004337</v>
      </c>
      <c r="S54" t="n">
        <v>19.406291</v>
      </c>
      <c r="T54" t="n">
        <v>0.922485</v>
      </c>
      <c r="U54" t="n">
        <v>0.00003612</v>
      </c>
      <c r="V54" t="n">
        <v>1.70846</v>
      </c>
      <c r="W54" t="n">
        <v>-19.752738</v>
      </c>
      <c r="X54" t="n">
        <v>-1.713508</v>
      </c>
      <c r="Y54" t="n">
        <v>1.285131</v>
      </c>
      <c r="Z54" t="n">
        <v>5.388672</v>
      </c>
      <c r="AA54" t="n">
        <v>9.90512291666667</v>
      </c>
      <c r="AB54" t="n">
        <v>0.004497</v>
      </c>
      <c r="AC54" t="n">
        <v>0.0107071428571429</v>
      </c>
      <c r="AD54" t="n">
        <v>0</v>
      </c>
      <c r="AE54" t="n">
        <v>0</v>
      </c>
      <c r="AF54" t="n">
        <v>1.233773</v>
      </c>
      <c r="AG54" t="n">
        <v>2.355864</v>
      </c>
      <c r="AH54" t="n">
        <v>18.172519</v>
      </c>
      <c r="AI54" t="n">
        <v>0</v>
      </c>
      <c r="AJ54" t="n">
        <v>0</v>
      </c>
      <c r="AK54" t="n">
        <v>0</v>
      </c>
      <c r="AL54" t="n">
        <v>0</v>
      </c>
    </row>
    <row r="55">
      <c r="A55" t="s">
        <v>180</v>
      </c>
      <c r="B55" t="s">
        <v>121</v>
      </c>
      <c r="C55" t="n">
        <v>7.378741</v>
      </c>
      <c r="D55" t="n">
        <v>2.835966</v>
      </c>
      <c r="E55" t="n">
        <v>1.030186</v>
      </c>
      <c r="F55" t="n">
        <v>10.822995</v>
      </c>
      <c r="G55" t="n">
        <v>0</v>
      </c>
      <c r="H55" t="n">
        <v>0</v>
      </c>
      <c r="I55" t="n">
        <v>0.228904</v>
      </c>
      <c r="J55" t="n">
        <v>4.483696</v>
      </c>
      <c r="K55" t="n">
        <v>3.957382</v>
      </c>
      <c r="L55" t="n">
        <v>0</v>
      </c>
      <c r="M55" t="n">
        <v>9.458328</v>
      </c>
      <c r="N55" t="n">
        <v>0</v>
      </c>
      <c r="O55" t="n">
        <v>2.172584</v>
      </c>
      <c r="P55" t="n">
        <v>0</v>
      </c>
      <c r="Q55" t="n">
        <v>0</v>
      </c>
      <c r="R55" t="n">
        <v>0</v>
      </c>
      <c r="S55" t="n">
        <v>4.164197</v>
      </c>
      <c r="T55" t="n">
        <v>0.93898</v>
      </c>
      <c r="U55" t="n">
        <v>0.00005542</v>
      </c>
      <c r="V55" t="n">
        <v>0.633806</v>
      </c>
      <c r="W55" t="n">
        <v>-4.368281</v>
      </c>
      <c r="X55" t="n">
        <v>0</v>
      </c>
      <c r="Y55" t="n">
        <v>0</v>
      </c>
      <c r="Z55" t="n">
        <v>2.172584</v>
      </c>
      <c r="AA55" t="n">
        <v>3.62097333333333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4.018819</v>
      </c>
      <c r="AI55" t="n">
        <v>0.145378</v>
      </c>
      <c r="AJ55" t="n">
        <v>1.032097</v>
      </c>
      <c r="AK55" t="n">
        <v>0</v>
      </c>
      <c r="AL55" t="n">
        <v>0</v>
      </c>
    </row>
    <row r="56">
      <c r="A56" t="s">
        <v>180</v>
      </c>
      <c r="B56" t="s">
        <v>122</v>
      </c>
      <c r="C56" t="n">
        <v>34.233589</v>
      </c>
      <c r="D56" t="n">
        <v>0.277484</v>
      </c>
      <c r="E56" t="n">
        <v>0.028055</v>
      </c>
      <c r="F56" t="n">
        <v>-5.576703</v>
      </c>
      <c r="G56" t="n">
        <v>0</v>
      </c>
      <c r="H56" t="n">
        <v>0</v>
      </c>
      <c r="I56" t="n">
        <v>0.809252</v>
      </c>
      <c r="J56" t="n">
        <v>4.554114</v>
      </c>
      <c r="K56" t="n">
        <v>1.453193</v>
      </c>
      <c r="L56" t="n">
        <v>0</v>
      </c>
      <c r="M56" t="n">
        <v>9.955687</v>
      </c>
      <c r="N56" t="n">
        <v>0</v>
      </c>
      <c r="O56" t="n">
        <v>0.726428</v>
      </c>
      <c r="P56" t="n">
        <v>0</v>
      </c>
      <c r="Q56" t="n">
        <v>0</v>
      </c>
      <c r="R56" t="n">
        <v>0</v>
      </c>
      <c r="S56" t="n">
        <v>6.913437</v>
      </c>
      <c r="T56" t="n">
        <v>6.865403</v>
      </c>
      <c r="U56" t="n">
        <v>0.00005882</v>
      </c>
      <c r="V56" t="n">
        <v>2.376239</v>
      </c>
      <c r="W56" t="n">
        <v>-2.882606</v>
      </c>
      <c r="X56" t="n">
        <v>0</v>
      </c>
      <c r="Y56" t="n">
        <v>0</v>
      </c>
      <c r="Z56" t="n">
        <v>0.723883</v>
      </c>
      <c r="AA56" t="n">
        <v>1.45969583333333</v>
      </c>
      <c r="AB56" t="n">
        <v>0.002546</v>
      </c>
      <c r="AC56" t="n">
        <v>0.00607380952380952</v>
      </c>
      <c r="AD56" t="n">
        <v>0</v>
      </c>
      <c r="AE56" t="n">
        <v>0</v>
      </c>
      <c r="AF56" t="n">
        <v>0</v>
      </c>
      <c r="AG56" t="n">
        <v>0</v>
      </c>
      <c r="AH56" t="n">
        <v>2.651998</v>
      </c>
      <c r="AI56" t="n">
        <v>4.261439</v>
      </c>
      <c r="AJ56" t="n">
        <v>0.567517</v>
      </c>
      <c r="AK56" t="n">
        <v>0</v>
      </c>
      <c r="AL56" t="n">
        <v>0</v>
      </c>
    </row>
    <row r="57">
      <c r="A57" t="s">
        <v>180</v>
      </c>
      <c r="B57" t="s">
        <v>123</v>
      </c>
      <c r="C57" t="n">
        <v>67.320972</v>
      </c>
      <c r="D57" t="n">
        <v>1.052987</v>
      </c>
      <c r="E57" t="n">
        <v>0.218105</v>
      </c>
      <c r="F57" t="n">
        <v>-14.196416</v>
      </c>
      <c r="G57" t="n">
        <v>-6.775526</v>
      </c>
      <c r="H57" t="n">
        <v>0</v>
      </c>
      <c r="I57" t="n">
        <v>2.298481</v>
      </c>
      <c r="J57" t="n">
        <v>3.851531</v>
      </c>
      <c r="K57" t="n">
        <v>12.285661</v>
      </c>
      <c r="L57" t="n">
        <v>0</v>
      </c>
      <c r="M57" t="n">
        <v>34.128431</v>
      </c>
      <c r="N57" t="n">
        <v>0</v>
      </c>
      <c r="O57" t="n">
        <v>4.185652</v>
      </c>
      <c r="P57" t="n">
        <v>0</v>
      </c>
      <c r="Q57" t="n">
        <v>0</v>
      </c>
      <c r="R57" t="n">
        <v>0</v>
      </c>
      <c r="S57" t="n">
        <v>9.736464</v>
      </c>
      <c r="T57" t="n">
        <v>2.83055</v>
      </c>
      <c r="U57" t="n">
        <v>0.00005729</v>
      </c>
      <c r="V57" t="n">
        <v>1.61732</v>
      </c>
      <c r="W57" t="n">
        <v>-9.543737</v>
      </c>
      <c r="X57" t="n">
        <v>-2.13609</v>
      </c>
      <c r="Y57" t="n">
        <v>1.602068</v>
      </c>
      <c r="Z57" t="n">
        <v>4.181257</v>
      </c>
      <c r="AA57" t="n">
        <v>7.20032527504105</v>
      </c>
      <c r="AB57" t="n">
        <v>0.004374</v>
      </c>
      <c r="AC57" t="n">
        <v>0.0104142857142857</v>
      </c>
      <c r="AD57" t="n">
        <v>0.000021</v>
      </c>
      <c r="AE57" t="n">
        <v>0.000051219512195122</v>
      </c>
      <c r="AF57" t="n">
        <v>0</v>
      </c>
      <c r="AG57" t="n">
        <v>0</v>
      </c>
      <c r="AH57" t="n">
        <v>8.780238</v>
      </c>
      <c r="AI57" t="n">
        <v>0.956226</v>
      </c>
      <c r="AJ57" t="n">
        <v>1.700854</v>
      </c>
      <c r="AK57" t="n">
        <v>0.789424</v>
      </c>
      <c r="AL57" t="n">
        <v>-0.558036</v>
      </c>
    </row>
    <row r="58">
      <c r="A58" t="s">
        <v>180</v>
      </c>
      <c r="B58" t="s">
        <v>124</v>
      </c>
      <c r="C58" t="n">
        <v>214.844151</v>
      </c>
      <c r="D58" t="n">
        <v>0.113475</v>
      </c>
      <c r="E58" t="n">
        <v>0.008249</v>
      </c>
      <c r="F58" t="n">
        <v>-90.178584</v>
      </c>
      <c r="G58" t="n">
        <v>-4.680265</v>
      </c>
      <c r="H58" t="n">
        <v>0</v>
      </c>
      <c r="I58" t="n">
        <v>21.41099</v>
      </c>
      <c r="J58" t="n">
        <v>2.200377</v>
      </c>
      <c r="K58" t="n">
        <v>1.422267</v>
      </c>
      <c r="L58" t="n">
        <v>0</v>
      </c>
      <c r="M58" t="n">
        <v>42.119373</v>
      </c>
      <c r="N58" t="n">
        <v>0</v>
      </c>
      <c r="O58" t="n">
        <v>38.766445</v>
      </c>
      <c r="P58" t="n">
        <v>0</v>
      </c>
      <c r="Q58" t="n">
        <v>0</v>
      </c>
      <c r="R58" t="n">
        <v>0.000056</v>
      </c>
      <c r="S58" t="n">
        <v>7.136</v>
      </c>
      <c r="T58" t="n">
        <v>8.304444</v>
      </c>
      <c r="U58" t="n">
        <v>0.00007481</v>
      </c>
      <c r="V58" t="n">
        <v>10.250154</v>
      </c>
      <c r="W58" t="n">
        <v>-6.465113</v>
      </c>
      <c r="X58" t="n">
        <v>-3.665859</v>
      </c>
      <c r="Y58" t="n">
        <v>2.749394</v>
      </c>
      <c r="Z58" t="n">
        <v>38.466988</v>
      </c>
      <c r="AA58" t="n">
        <v>65.4293138382594</v>
      </c>
      <c r="AB58" t="n">
        <v>0.106292</v>
      </c>
      <c r="AC58" t="n">
        <v>0.25307619047619</v>
      </c>
      <c r="AD58" t="n">
        <v>0.193164</v>
      </c>
      <c r="AE58" t="n">
        <v>0.471486043360434</v>
      </c>
      <c r="AF58" t="n">
        <v>0</v>
      </c>
      <c r="AG58" t="n">
        <v>0</v>
      </c>
      <c r="AH58" t="n">
        <v>5.947904</v>
      </c>
      <c r="AI58" t="n">
        <v>1.188096</v>
      </c>
      <c r="AJ58" t="n">
        <v>13.456414</v>
      </c>
      <c r="AK58" t="n">
        <v>3.707647</v>
      </c>
      <c r="AL58" t="n">
        <v>-1.675037</v>
      </c>
    </row>
    <row r="59">
      <c r="A59" t="s">
        <v>180</v>
      </c>
      <c r="B59" t="s">
        <v>125</v>
      </c>
      <c r="C59" t="n">
        <v>28.067442</v>
      </c>
      <c r="D59" t="n">
        <v>4.772399</v>
      </c>
      <c r="E59" t="n">
        <v>2.333114</v>
      </c>
      <c r="F59" t="n">
        <v>24.4121</v>
      </c>
      <c r="G59" t="n">
        <v>-9.758144</v>
      </c>
      <c r="H59" t="n">
        <v>0</v>
      </c>
      <c r="I59" t="n">
        <v>0</v>
      </c>
      <c r="J59" t="n">
        <v>16.35232</v>
      </c>
      <c r="K59" t="n">
        <v>17.604022</v>
      </c>
      <c r="L59" t="n">
        <v>0.567363</v>
      </c>
      <c r="M59" t="n">
        <v>27.982005</v>
      </c>
      <c r="N59" t="n">
        <v>0</v>
      </c>
      <c r="O59" t="n">
        <v>4.135513</v>
      </c>
      <c r="P59" t="n">
        <v>0</v>
      </c>
      <c r="Q59" t="n">
        <v>0</v>
      </c>
      <c r="R59" t="n">
        <v>0</v>
      </c>
      <c r="S59" t="n">
        <v>14.053348</v>
      </c>
      <c r="T59" t="n">
        <v>2.321148</v>
      </c>
      <c r="U59" t="n">
        <v>0.00005546</v>
      </c>
      <c r="V59" t="n">
        <v>1.068004</v>
      </c>
      <c r="W59" t="n">
        <v>-13.957644</v>
      </c>
      <c r="X59" t="n">
        <v>0</v>
      </c>
      <c r="Y59" t="n">
        <v>0</v>
      </c>
      <c r="Z59" t="n">
        <v>4.135028</v>
      </c>
      <c r="AA59" t="n">
        <v>6.89171333333333</v>
      </c>
      <c r="AB59" t="n">
        <v>0.000485</v>
      </c>
      <c r="AC59" t="n">
        <v>0.0011547619047619</v>
      </c>
      <c r="AD59" t="n">
        <v>0</v>
      </c>
      <c r="AE59" t="n">
        <v>0</v>
      </c>
      <c r="AF59" t="n">
        <v>0</v>
      </c>
      <c r="AG59" t="n">
        <v>0</v>
      </c>
      <c r="AH59" t="n">
        <v>12.841032</v>
      </c>
      <c r="AI59" t="n">
        <v>1.212316</v>
      </c>
      <c r="AJ59" t="n">
        <v>0.285123</v>
      </c>
      <c r="AK59" t="n">
        <v>0</v>
      </c>
      <c r="AL59" t="n">
        <v>0</v>
      </c>
    </row>
    <row r="60">
      <c r="A60" t="s">
        <v>180</v>
      </c>
      <c r="B60" t="s">
        <v>126</v>
      </c>
      <c r="C60" t="n">
        <v>13.086239</v>
      </c>
      <c r="D60" t="n">
        <v>3.049482</v>
      </c>
      <c r="E60" t="n">
        <v>1.626048</v>
      </c>
      <c r="F60" t="n">
        <v>9.247634</v>
      </c>
      <c r="G60" t="n">
        <v>0</v>
      </c>
      <c r="H60" t="n">
        <v>0</v>
      </c>
      <c r="I60" t="n">
        <v>0.103064</v>
      </c>
      <c r="J60" t="n">
        <v>7.886103</v>
      </c>
      <c r="K60" t="n">
        <v>3.558612</v>
      </c>
      <c r="L60" t="n">
        <v>0</v>
      </c>
      <c r="M60" t="n">
        <v>15.187467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6.153585</v>
      </c>
      <c r="T60" t="n">
        <v>0.517765</v>
      </c>
      <c r="U60" t="n">
        <v>0.000052</v>
      </c>
      <c r="V60" t="n">
        <v>0.122097</v>
      </c>
      <c r="W60" t="n">
        <v>-6.475142</v>
      </c>
      <c r="X60" t="n">
        <v>-0.598411</v>
      </c>
      <c r="Y60" t="n">
        <v>0.448808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5.95713</v>
      </c>
      <c r="AI60" t="n">
        <v>0.196455</v>
      </c>
      <c r="AJ60" t="n">
        <v>0.227551</v>
      </c>
      <c r="AK60" t="n">
        <v>0</v>
      </c>
      <c r="AL60" t="n">
        <v>0</v>
      </c>
    </row>
    <row r="61">
      <c r="A61" t="s">
        <v>180</v>
      </c>
      <c r="B61" t="s">
        <v>127</v>
      </c>
      <c r="C61" t="n">
        <v>23.914092</v>
      </c>
      <c r="D61" t="n">
        <v>3.153906</v>
      </c>
      <c r="E61" t="n">
        <v>1.351077</v>
      </c>
      <c r="F61" t="n">
        <v>4.598988</v>
      </c>
      <c r="G61" t="n">
        <v>-8.626148</v>
      </c>
      <c r="H61" t="n">
        <v>0</v>
      </c>
      <c r="I61" t="n">
        <v>0.259555</v>
      </c>
      <c r="J61" t="n">
        <v>9.080834</v>
      </c>
      <c r="K61" t="n">
        <v>8.368204</v>
      </c>
      <c r="L61" t="n">
        <v>0.588923</v>
      </c>
      <c r="M61" t="n">
        <v>18.790373</v>
      </c>
      <c r="N61" t="n">
        <v>0</v>
      </c>
      <c r="O61" t="n">
        <v>2.422085</v>
      </c>
      <c r="P61" t="n">
        <v>0</v>
      </c>
      <c r="Q61" t="n">
        <v>0</v>
      </c>
      <c r="R61" t="n">
        <v>0</v>
      </c>
      <c r="S61" t="n">
        <v>12.165231</v>
      </c>
      <c r="T61" t="n">
        <v>0.483005</v>
      </c>
      <c r="U61" t="n">
        <v>0.00005514</v>
      </c>
      <c r="V61" t="n">
        <v>2.035963</v>
      </c>
      <c r="W61" t="n">
        <v>-10.194094</v>
      </c>
      <c r="X61" t="n">
        <v>-1.226883</v>
      </c>
      <c r="Y61" t="n">
        <v>0.920163</v>
      </c>
      <c r="Z61" t="n">
        <v>2.421059</v>
      </c>
      <c r="AA61" t="n">
        <v>4.13629726190476</v>
      </c>
      <c r="AB61" t="n">
        <v>0.001026</v>
      </c>
      <c r="AC61" t="n">
        <v>0.00244285714285714</v>
      </c>
      <c r="AD61" t="n">
        <v>0</v>
      </c>
      <c r="AE61" t="n">
        <v>0</v>
      </c>
      <c r="AF61" t="n">
        <v>0</v>
      </c>
      <c r="AG61" t="n">
        <v>0</v>
      </c>
      <c r="AH61" t="n">
        <v>9.378566</v>
      </c>
      <c r="AI61" t="n">
        <v>2.786665</v>
      </c>
      <c r="AJ61" t="n">
        <v>0.034495</v>
      </c>
      <c r="AK61" t="n">
        <v>0.074192</v>
      </c>
      <c r="AL61" t="n">
        <v>-0.121833</v>
      </c>
    </row>
    <row r="62">
      <c r="A62" t="s">
        <v>180</v>
      </c>
      <c r="B62" t="s">
        <v>128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0.00005566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s">
        <v>180</v>
      </c>
      <c r="B63" t="s">
        <v>129</v>
      </c>
      <c r="C63" t="n">
        <v>230.992422</v>
      </c>
      <c r="D63" t="n">
        <v>4.556398</v>
      </c>
      <c r="E63" t="n">
        <v>155.15625</v>
      </c>
      <c r="F63" t="n">
        <v>-31.715018</v>
      </c>
      <c r="G63" t="n">
        <v>0</v>
      </c>
      <c r="H63" t="n">
        <v>0.027391</v>
      </c>
      <c r="I63" t="n">
        <v>0.106773</v>
      </c>
      <c r="J63" t="n">
        <v>218.1391</v>
      </c>
      <c r="K63" t="n">
        <v>28.321587</v>
      </c>
      <c r="L63" t="n">
        <v>0</v>
      </c>
      <c r="M63" t="n">
        <v>84.690326</v>
      </c>
      <c r="N63" t="n">
        <v>0</v>
      </c>
      <c r="O63" t="n">
        <v>19.768359</v>
      </c>
      <c r="P63" t="n">
        <v>0</v>
      </c>
      <c r="Q63" t="n">
        <v>0</v>
      </c>
      <c r="R63" t="n">
        <v>0</v>
      </c>
      <c r="S63" t="n">
        <v>34.80169</v>
      </c>
      <c r="T63" t="n">
        <v>0.729727</v>
      </c>
      <c r="U63" t="n">
        <v>0.00012038</v>
      </c>
      <c r="V63" t="n">
        <v>5.407127</v>
      </c>
      <c r="W63" t="n">
        <v>-27.5949</v>
      </c>
      <c r="X63" t="n">
        <v>0</v>
      </c>
      <c r="Y63" t="n">
        <v>0</v>
      </c>
      <c r="Z63" t="n">
        <v>2.70408</v>
      </c>
      <c r="AA63" t="n">
        <v>4.82748814655172</v>
      </c>
      <c r="AB63" t="n">
        <v>0.906664</v>
      </c>
      <c r="AC63" t="n">
        <v>2.32286428571429</v>
      </c>
      <c r="AD63" t="n">
        <v>0</v>
      </c>
      <c r="AE63" t="n">
        <v>0</v>
      </c>
      <c r="AF63" t="n">
        <v>1.033823</v>
      </c>
      <c r="AG63" t="n">
        <v>16.157615</v>
      </c>
      <c r="AH63" t="n">
        <v>25.387308</v>
      </c>
      <c r="AI63" t="n">
        <v>8.380559</v>
      </c>
      <c r="AJ63" t="n">
        <v>0</v>
      </c>
      <c r="AK63" t="n">
        <v>0</v>
      </c>
      <c r="AL63" t="n">
        <v>0</v>
      </c>
    </row>
    <row r="64">
      <c r="A64" t="s">
        <v>180</v>
      </c>
      <c r="B64" t="s">
        <v>130</v>
      </c>
      <c r="C64" t="n">
        <v>0</v>
      </c>
      <c r="D64" t="n">
        <v>1.088993</v>
      </c>
      <c r="E64" t="n">
        <v>0</v>
      </c>
      <c r="F64" t="n">
        <v>7.821061</v>
      </c>
      <c r="G64" t="n">
        <v>0</v>
      </c>
      <c r="H64" t="n">
        <v>0</v>
      </c>
      <c r="I64" t="n">
        <v>0</v>
      </c>
      <c r="J64" t="n">
        <v>8.910054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0.00009132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s">
        <v>180</v>
      </c>
      <c r="B65" t="s">
        <v>131</v>
      </c>
      <c r="C65" t="n">
        <v>30.675019</v>
      </c>
      <c r="D65" t="n">
        <v>2.177525</v>
      </c>
      <c r="E65" t="n">
        <v>0</v>
      </c>
      <c r="F65" t="n">
        <v>4.075894</v>
      </c>
      <c r="G65" t="n">
        <v>0</v>
      </c>
      <c r="H65" t="n">
        <v>0</v>
      </c>
      <c r="I65" t="n">
        <v>5.69628</v>
      </c>
      <c r="J65" t="n">
        <v>8.957796</v>
      </c>
      <c r="K65" t="n">
        <v>5.830402</v>
      </c>
      <c r="L65" t="n">
        <v>0</v>
      </c>
      <c r="M65" t="n">
        <v>2.22879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0.234733</v>
      </c>
      <c r="T65" t="n">
        <v>0</v>
      </c>
      <c r="U65" t="n">
        <v>0.0000383</v>
      </c>
      <c r="V65" t="n">
        <v>0.09959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0.060012</v>
      </c>
      <c r="AG65" t="n">
        <v>0</v>
      </c>
      <c r="AH65" t="n">
        <v>0</v>
      </c>
      <c r="AI65" t="n">
        <v>0.17472</v>
      </c>
      <c r="AJ65" t="n">
        <v>13.751742</v>
      </c>
      <c r="AK65" t="n">
        <v>0.243581</v>
      </c>
      <c r="AL65" t="n">
        <v>-0.014907</v>
      </c>
    </row>
    <row r="66">
      <c r="A66" t="s">
        <v>180</v>
      </c>
      <c r="B66" t="s">
        <v>132</v>
      </c>
      <c r="C66" t="n">
        <v>28.24156</v>
      </c>
      <c r="D66" t="n">
        <v>0.298349</v>
      </c>
      <c r="E66" t="n">
        <v>0</v>
      </c>
      <c r="F66" t="n">
        <v>4.767114</v>
      </c>
      <c r="G66" t="n">
        <v>0</v>
      </c>
      <c r="H66" t="n">
        <v>0.000406</v>
      </c>
      <c r="I66" t="n">
        <v>2.94181</v>
      </c>
      <c r="J66" t="n">
        <v>2.047316</v>
      </c>
      <c r="K66" t="n">
        <v>6.556628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1.754999</v>
      </c>
      <c r="T66" t="n">
        <v>0</v>
      </c>
      <c r="U66" t="n">
        <v>0.00005051</v>
      </c>
      <c r="V66" t="n">
        <v>0.971006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0.051479</v>
      </c>
      <c r="AG66" t="n">
        <v>0</v>
      </c>
      <c r="AH66" t="n">
        <v>0</v>
      </c>
      <c r="AI66" t="n">
        <v>1.70352</v>
      </c>
      <c r="AJ66" t="n">
        <v>20.006395</v>
      </c>
      <c r="AK66" t="n">
        <v>0.000007</v>
      </c>
      <c r="AL66" t="n">
        <v>-0.000093</v>
      </c>
    </row>
    <row r="67">
      <c r="A67" t="s">
        <v>180</v>
      </c>
      <c r="B67" t="s">
        <v>133</v>
      </c>
      <c r="C67" t="n">
        <v>119.713194</v>
      </c>
      <c r="D67" t="n">
        <v>6.508285</v>
      </c>
      <c r="E67" t="n">
        <v>0</v>
      </c>
      <c r="F67" t="n">
        <v>31.947574</v>
      </c>
      <c r="G67" t="n">
        <v>0</v>
      </c>
      <c r="H67" t="n">
        <v>0.026694</v>
      </c>
      <c r="I67" t="n">
        <v>22.586122</v>
      </c>
      <c r="J67" t="n">
        <v>35.850288</v>
      </c>
      <c r="K67" t="n">
        <v>8.094072</v>
      </c>
      <c r="L67" t="n">
        <v>0</v>
      </c>
      <c r="M67" t="n">
        <v>7.282023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0.739534</v>
      </c>
      <c r="T67" t="n">
        <v>0</v>
      </c>
      <c r="U67" t="n">
        <v>0.0000528</v>
      </c>
      <c r="V67" t="n">
        <v>0.248976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0.302734</v>
      </c>
      <c r="AG67" t="n">
        <v>0</v>
      </c>
      <c r="AH67" t="n">
        <v>0</v>
      </c>
      <c r="AI67" t="n">
        <v>0.4368</v>
      </c>
      <c r="AJ67" t="n">
        <v>81.487841</v>
      </c>
      <c r="AK67" t="n">
        <v>2.277482</v>
      </c>
      <c r="AL67" t="n">
        <v>-0.175073</v>
      </c>
    </row>
    <row r="68">
      <c r="A68" t="s">
        <v>180</v>
      </c>
      <c r="B68" t="s">
        <v>134</v>
      </c>
      <c r="C68" t="n">
        <v>223.307986</v>
      </c>
      <c r="D68" t="n">
        <v>0.516954</v>
      </c>
      <c r="E68" t="n">
        <v>8.99582</v>
      </c>
      <c r="F68" t="n">
        <v>-14.295993</v>
      </c>
      <c r="G68" t="n">
        <v>4.613162</v>
      </c>
      <c r="H68" t="n">
        <v>0.178999</v>
      </c>
      <c r="I68" t="n">
        <v>0.962673</v>
      </c>
      <c r="J68" t="n">
        <v>46.259064</v>
      </c>
      <c r="K68" t="n">
        <v>42.509348</v>
      </c>
      <c r="L68" t="n">
        <v>0</v>
      </c>
      <c r="M68" t="n">
        <v>27.335336</v>
      </c>
      <c r="N68" t="n">
        <v>29.558149</v>
      </c>
      <c r="O68" t="n">
        <v>28.921297</v>
      </c>
      <c r="P68" t="n">
        <v>3.249249</v>
      </c>
      <c r="Q68" t="n">
        <v>0.284418</v>
      </c>
      <c r="R68" t="n">
        <v>0</v>
      </c>
      <c r="S68" t="n">
        <v>26.008422</v>
      </c>
      <c r="T68" t="n">
        <v>8.737296</v>
      </c>
      <c r="U68" t="n">
        <v>0.00015754</v>
      </c>
      <c r="V68" t="n">
        <v>26.484847</v>
      </c>
      <c r="W68" t="n">
        <v>0</v>
      </c>
      <c r="X68" t="n">
        <v>-2.60661</v>
      </c>
      <c r="Y68" t="n">
        <v>1.954958</v>
      </c>
      <c r="Z68" t="n">
        <v>24.704135</v>
      </c>
      <c r="AA68" t="n">
        <v>41.1735583333333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4.217162</v>
      </c>
      <c r="AH68" t="n">
        <v>0</v>
      </c>
      <c r="AI68" t="n">
        <v>26.008422</v>
      </c>
      <c r="AJ68" t="n">
        <v>0.592145</v>
      </c>
      <c r="AK68" t="n">
        <v>0.103092</v>
      </c>
      <c r="AL68" t="n">
        <v>-0.136185</v>
      </c>
    </row>
    <row r="69">
      <c r="A69" t="s">
        <v>180</v>
      </c>
      <c r="B69" t="s">
        <v>135</v>
      </c>
      <c r="C69" t="n">
        <v>59.794947</v>
      </c>
      <c r="D69" t="n">
        <v>45.45167</v>
      </c>
      <c r="E69" t="n">
        <v>24.233258</v>
      </c>
      <c r="F69" t="n">
        <v>2.862835</v>
      </c>
      <c r="G69" t="n">
        <v>0</v>
      </c>
      <c r="H69" t="n">
        <v>0</v>
      </c>
      <c r="I69" t="n">
        <v>1.123657</v>
      </c>
      <c r="J69" t="n">
        <v>38.191677</v>
      </c>
      <c r="K69" t="n">
        <v>32.815526</v>
      </c>
      <c r="L69" t="n">
        <v>0.814881</v>
      </c>
      <c r="M69" t="n">
        <v>47.07472</v>
      </c>
      <c r="N69" t="n">
        <v>0</v>
      </c>
      <c r="O69" t="n">
        <v>0.213909</v>
      </c>
      <c r="P69" t="n">
        <v>0</v>
      </c>
      <c r="Q69" t="n">
        <v>0</v>
      </c>
      <c r="R69" t="n">
        <v>0</v>
      </c>
      <c r="S69" t="n">
        <v>1.589203</v>
      </c>
      <c r="T69" t="n">
        <v>5.488436</v>
      </c>
      <c r="U69" t="n">
        <v>0.00001449</v>
      </c>
      <c r="V69" t="n">
        <v>0.988872</v>
      </c>
      <c r="W69" t="n">
        <v>0</v>
      </c>
      <c r="X69" t="n">
        <v>0</v>
      </c>
      <c r="Y69" t="n">
        <v>0</v>
      </c>
      <c r="Z69" t="n">
        <v>0.213909</v>
      </c>
      <c r="AA69" t="n">
        <v>0.368808620689655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1.589203</v>
      </c>
      <c r="AJ69" t="n">
        <v>6.949543</v>
      </c>
      <c r="AK69" t="n">
        <v>5.333146</v>
      </c>
      <c r="AL69" t="n">
        <v>-7.252</v>
      </c>
    </row>
    <row r="70">
      <c r="A70" t="s">
        <v>180</v>
      </c>
      <c r="B70" t="s">
        <v>136</v>
      </c>
      <c r="C70" t="n">
        <v>14.095062</v>
      </c>
      <c r="D70" t="n">
        <v>0</v>
      </c>
      <c r="E70" t="n">
        <v>61.175585</v>
      </c>
      <c r="F70" t="n">
        <v>-35.253773</v>
      </c>
      <c r="G70" t="n">
        <v>0</v>
      </c>
      <c r="H70" t="n">
        <v>0</v>
      </c>
      <c r="I70" t="n">
        <v>0</v>
      </c>
      <c r="J70" t="n">
        <v>0</v>
      </c>
      <c r="K70" t="n">
        <v>18.549136</v>
      </c>
      <c r="L70" t="n">
        <v>0</v>
      </c>
      <c r="M70" t="n">
        <v>0</v>
      </c>
      <c r="N70" t="n">
        <v>0</v>
      </c>
      <c r="O70" t="n">
        <v>0.031137</v>
      </c>
      <c r="P70" t="n">
        <v>0</v>
      </c>
      <c r="Q70" t="n">
        <v>0</v>
      </c>
      <c r="R70" t="n">
        <v>0</v>
      </c>
      <c r="S70" t="n">
        <v>0.090818</v>
      </c>
      <c r="T70" t="n">
        <v>0.568593</v>
      </c>
      <c r="U70" t="n">
        <v>0.00012403</v>
      </c>
      <c r="V70" t="n">
        <v>0.013784</v>
      </c>
      <c r="W70" t="n">
        <v>-0.026044</v>
      </c>
      <c r="X70" t="n">
        <v>0</v>
      </c>
      <c r="Y70" t="n">
        <v>0</v>
      </c>
      <c r="Z70" t="n">
        <v>0</v>
      </c>
      <c r="AA70" t="n">
        <v>0</v>
      </c>
      <c r="AB70" t="n">
        <v>0.031137</v>
      </c>
      <c r="AC70" t="n">
        <v>0.0889628571428571</v>
      </c>
      <c r="AD70" t="n">
        <v>0</v>
      </c>
      <c r="AE70" t="n">
        <v>0</v>
      </c>
      <c r="AF70" t="n">
        <v>0.066858</v>
      </c>
      <c r="AG70" t="n">
        <v>0</v>
      </c>
      <c r="AH70" t="n">
        <v>0.02396</v>
      </c>
      <c r="AI70" t="n">
        <v>0</v>
      </c>
      <c r="AJ70" t="n">
        <v>20.803233</v>
      </c>
      <c r="AK70" t="n">
        <v>0</v>
      </c>
      <c r="AL70" t="n">
        <v>0</v>
      </c>
    </row>
    <row r="71">
      <c r="A71" t="s">
        <v>180</v>
      </c>
      <c r="B71" t="s">
        <v>137</v>
      </c>
      <c r="C71" t="n">
        <v>22.618645</v>
      </c>
      <c r="D71" t="n">
        <v>1.486688</v>
      </c>
      <c r="E71" t="n">
        <v>4.430028</v>
      </c>
      <c r="F71" t="n">
        <v>46.154894</v>
      </c>
      <c r="G71" t="n">
        <v>0</v>
      </c>
      <c r="H71" t="n">
        <v>0</v>
      </c>
      <c r="I71" t="n">
        <v>0</v>
      </c>
      <c r="J71" t="n">
        <v>4.017008</v>
      </c>
      <c r="K71" t="n">
        <v>30.740944</v>
      </c>
      <c r="L71" t="n">
        <v>0</v>
      </c>
      <c r="M71" t="n">
        <v>0.634855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0.131657</v>
      </c>
      <c r="T71" t="n">
        <v>2.602919</v>
      </c>
      <c r="U71" t="n">
        <v>0.00009018</v>
      </c>
      <c r="V71" t="n">
        <v>0</v>
      </c>
      <c r="W71" t="n">
        <v>-0.044186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0.091006</v>
      </c>
      <c r="AG71" t="n">
        <v>0</v>
      </c>
      <c r="AH71" t="n">
        <v>0.040651</v>
      </c>
      <c r="AI71" t="n">
        <v>0</v>
      </c>
      <c r="AJ71" t="n">
        <v>36.607058</v>
      </c>
      <c r="AK71" t="n">
        <v>0</v>
      </c>
      <c r="AL71" t="n">
        <v>0</v>
      </c>
    </row>
    <row r="72">
      <c r="A72" t="s">
        <v>180</v>
      </c>
      <c r="B72" t="s">
        <v>138</v>
      </c>
      <c r="C72" t="n">
        <v>103.96676</v>
      </c>
      <c r="D72" t="n">
        <v>1.326366</v>
      </c>
      <c r="E72" t="n">
        <v>12.923478</v>
      </c>
      <c r="F72" t="n">
        <v>-21.997569</v>
      </c>
      <c r="G72" t="n">
        <v>0</v>
      </c>
      <c r="H72" t="n">
        <v>0.000059</v>
      </c>
      <c r="I72" t="n">
        <v>0</v>
      </c>
      <c r="J72" t="n">
        <v>22.920756</v>
      </c>
      <c r="K72" t="n">
        <v>11.924937</v>
      </c>
      <c r="L72" t="n">
        <v>0</v>
      </c>
      <c r="M72" t="n">
        <v>9.588556</v>
      </c>
      <c r="N72" t="n">
        <v>28.590726</v>
      </c>
      <c r="O72" t="n">
        <v>0</v>
      </c>
      <c r="P72" t="n">
        <v>0</v>
      </c>
      <c r="Q72" t="n">
        <v>0</v>
      </c>
      <c r="R72" t="n">
        <v>0</v>
      </c>
      <c r="S72" t="n">
        <v>0.832623</v>
      </c>
      <c r="T72" t="n">
        <v>11.42574</v>
      </c>
      <c r="U72" t="n">
        <v>0.00010335</v>
      </c>
      <c r="V72" t="n">
        <v>0</v>
      </c>
      <c r="W72" t="n">
        <v>-0.590766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0.289119</v>
      </c>
      <c r="AG72" t="n">
        <v>0</v>
      </c>
      <c r="AH72" t="n">
        <v>0.543504</v>
      </c>
      <c r="AI72" t="n">
        <v>0</v>
      </c>
      <c r="AJ72" t="n">
        <v>11.526404</v>
      </c>
      <c r="AK72" t="n">
        <v>0</v>
      </c>
      <c r="AL72" t="n">
        <v>0</v>
      </c>
    </row>
    <row r="73">
      <c r="A73" t="s">
        <v>180</v>
      </c>
      <c r="B73" t="s">
        <v>139</v>
      </c>
      <c r="C73" t="n">
        <v>31.214543</v>
      </c>
      <c r="D73" t="n">
        <v>3.558322</v>
      </c>
      <c r="E73" t="n">
        <v>3.550841</v>
      </c>
      <c r="F73" t="n">
        <v>5.276549</v>
      </c>
      <c r="G73" t="n">
        <v>1.950883</v>
      </c>
      <c r="H73" t="n">
        <v>0.008578</v>
      </c>
      <c r="I73" t="n">
        <v>0</v>
      </c>
      <c r="J73" t="n">
        <v>26.728652</v>
      </c>
      <c r="K73" t="n">
        <v>6.71792</v>
      </c>
      <c r="L73" t="n">
        <v>0</v>
      </c>
      <c r="M73" t="n">
        <v>4.231507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0.374786</v>
      </c>
      <c r="T73" t="n">
        <v>2.636546</v>
      </c>
      <c r="U73" t="n">
        <v>0.00010804</v>
      </c>
      <c r="V73" t="n">
        <v>0</v>
      </c>
      <c r="W73" t="n">
        <v>-0.315212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0.084791</v>
      </c>
      <c r="AG73" t="n">
        <v>0</v>
      </c>
      <c r="AH73" t="n">
        <v>0.289995</v>
      </c>
      <c r="AI73" t="n">
        <v>0</v>
      </c>
      <c r="AJ73" t="n">
        <v>1.266593</v>
      </c>
      <c r="AK73" t="n">
        <v>0</v>
      </c>
      <c r="AL73" t="n">
        <v>0</v>
      </c>
    </row>
    <row r="74">
      <c r="A74" t="s">
        <v>180</v>
      </c>
      <c r="B74" t="s">
        <v>140</v>
      </c>
      <c r="C74" t="n">
        <v>534.165959</v>
      </c>
      <c r="D74" t="n">
        <v>46.926046</v>
      </c>
      <c r="E74" t="n">
        <v>194.491415</v>
      </c>
      <c r="F74" t="n">
        <v>63.152693</v>
      </c>
      <c r="G74" t="n">
        <v>0</v>
      </c>
      <c r="H74" t="n">
        <v>0.003981</v>
      </c>
      <c r="I74" t="n">
        <v>5.287901</v>
      </c>
      <c r="J74" t="n">
        <v>420.815881</v>
      </c>
      <c r="K74" t="n">
        <v>128.867681</v>
      </c>
      <c r="L74" t="n">
        <v>0</v>
      </c>
      <c r="M74" t="n">
        <v>60.077568</v>
      </c>
      <c r="N74" t="n">
        <v>62.580177</v>
      </c>
      <c r="O74" t="n">
        <v>11.233904</v>
      </c>
      <c r="P74" t="n">
        <v>0</v>
      </c>
      <c r="Q74" t="n">
        <v>0</v>
      </c>
      <c r="R74" t="n">
        <v>0</v>
      </c>
      <c r="S74" t="n">
        <v>113.005197</v>
      </c>
      <c r="T74" t="n">
        <v>68.363358</v>
      </c>
      <c r="U74" t="n">
        <v>0.0000745</v>
      </c>
      <c r="V74" t="n">
        <v>19.436742</v>
      </c>
      <c r="W74" t="n">
        <v>-29.550442</v>
      </c>
      <c r="X74" t="n">
        <v>-7.796377</v>
      </c>
      <c r="Y74" t="n">
        <v>5.847282</v>
      </c>
      <c r="Z74" t="n">
        <v>10.830853</v>
      </c>
      <c r="AA74" t="n">
        <v>20.7970958683473</v>
      </c>
      <c r="AB74" t="n">
        <v>0.129655</v>
      </c>
      <c r="AC74" t="n">
        <v>0.370442857142857</v>
      </c>
      <c r="AD74" t="n">
        <v>0.273395</v>
      </c>
      <c r="AE74" t="n">
        <v>0.707306571815718</v>
      </c>
      <c r="AF74" t="n">
        <v>1.395211</v>
      </c>
      <c r="AG74" t="n">
        <v>0</v>
      </c>
      <c r="AH74" t="n">
        <v>27.186407</v>
      </c>
      <c r="AI74" t="n">
        <v>84.423579</v>
      </c>
      <c r="AJ74" t="n">
        <v>0</v>
      </c>
      <c r="AK74" t="n">
        <v>0</v>
      </c>
      <c r="AL74" t="n">
        <v>0</v>
      </c>
    </row>
    <row r="75">
      <c r="A75" t="s">
        <v>180</v>
      </c>
      <c r="B75" t="s">
        <v>141</v>
      </c>
      <c r="C75" t="n">
        <v>12.327529</v>
      </c>
      <c r="D75" t="n">
        <v>5.684147</v>
      </c>
      <c r="E75" t="n">
        <v>0</v>
      </c>
      <c r="F75" t="n">
        <v>2.625393</v>
      </c>
      <c r="G75" t="n">
        <v>0</v>
      </c>
      <c r="H75" t="n">
        <v>0</v>
      </c>
      <c r="I75" t="n">
        <v>0</v>
      </c>
      <c r="J75" t="n">
        <v>4.444924</v>
      </c>
      <c r="K75" t="n">
        <v>11.746441</v>
      </c>
      <c r="L75" t="n">
        <v>0</v>
      </c>
      <c r="M75" t="n">
        <v>1.959037</v>
      </c>
      <c r="N75" t="n">
        <v>0</v>
      </c>
      <c r="O75" t="n">
        <v>2.540734</v>
      </c>
      <c r="P75" t="n">
        <v>0</v>
      </c>
      <c r="Q75" t="n">
        <v>0.060161</v>
      </c>
      <c r="R75" t="n">
        <v>0.008757</v>
      </c>
      <c r="S75" t="n">
        <v>5.724223</v>
      </c>
      <c r="T75" t="n">
        <v>0.374774</v>
      </c>
      <c r="U75" t="n">
        <v>0.0000352</v>
      </c>
      <c r="V75" t="n">
        <v>0.68345</v>
      </c>
      <c r="W75" t="n">
        <v>-6.221982</v>
      </c>
      <c r="X75" t="n">
        <v>0</v>
      </c>
      <c r="Y75" t="n">
        <v>0</v>
      </c>
      <c r="Z75" t="n">
        <v>2.540405</v>
      </c>
      <c r="AA75" t="n">
        <v>4.36468011494253</v>
      </c>
      <c r="AB75" t="n">
        <v>0.000329</v>
      </c>
      <c r="AC75" t="n">
        <v>0.00094</v>
      </c>
      <c r="AD75" t="n">
        <v>0</v>
      </c>
      <c r="AE75" t="n">
        <v>0</v>
      </c>
      <c r="AF75" t="n">
        <v>0</v>
      </c>
      <c r="AG75" t="n">
        <v>0</v>
      </c>
      <c r="AH75" t="n">
        <v>5.724223</v>
      </c>
      <c r="AI75" t="n">
        <v>0</v>
      </c>
      <c r="AJ75" t="n">
        <v>0</v>
      </c>
      <c r="AK75" t="n">
        <v>0</v>
      </c>
      <c r="AL75" t="n">
        <v>0</v>
      </c>
    </row>
    <row r="76">
      <c r="A76" t="s">
        <v>182</v>
      </c>
      <c r="B76" t="s">
        <v>105</v>
      </c>
      <c r="C76" t="n">
        <v>131.712636</v>
      </c>
      <c r="D76" t="n">
        <v>0.554606</v>
      </c>
      <c r="E76" t="n">
        <v>2.708672</v>
      </c>
      <c r="F76" t="n">
        <v>-14.447437</v>
      </c>
      <c r="G76" t="n">
        <v>-13.644687</v>
      </c>
      <c r="H76" t="n">
        <v>0.091432</v>
      </c>
      <c r="I76" t="n">
        <v>26.978019</v>
      </c>
      <c r="J76" t="n">
        <v>0</v>
      </c>
      <c r="K76" t="n">
        <v>43.808617</v>
      </c>
      <c r="L76" t="n">
        <v>0</v>
      </c>
      <c r="M76" t="n">
        <v>35.7189</v>
      </c>
      <c r="N76" t="n">
        <v>0</v>
      </c>
      <c r="O76" t="n">
        <v>10.22755</v>
      </c>
      <c r="P76" t="n">
        <v>0</v>
      </c>
      <c r="Q76" t="n">
        <v>0</v>
      </c>
      <c r="R76" t="n">
        <v>0</v>
      </c>
      <c r="S76" t="n">
        <v>2.877817</v>
      </c>
      <c r="T76" t="n">
        <v>4.385035</v>
      </c>
      <c r="U76" t="n">
        <v>0.00015956</v>
      </c>
      <c r="V76" t="n">
        <v>0</v>
      </c>
      <c r="W76" t="n">
        <v>-0.148264</v>
      </c>
      <c r="X76" t="n">
        <v>-0.540502</v>
      </c>
      <c r="Y76" t="n">
        <v>0.405377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0.08125</v>
      </c>
      <c r="AG76" t="n">
        <v>10.22755</v>
      </c>
      <c r="AH76" t="n">
        <v>0.136403</v>
      </c>
      <c r="AI76" t="n">
        <v>2.660164</v>
      </c>
      <c r="AJ76" t="n">
        <v>8.213344</v>
      </c>
      <c r="AK76" t="n">
        <v>10.622075</v>
      </c>
      <c r="AL76" t="n">
        <v>-8.466283</v>
      </c>
    </row>
    <row r="77">
      <c r="A77" t="s">
        <v>182</v>
      </c>
      <c r="B77" t="s">
        <v>106</v>
      </c>
      <c r="C77" t="n">
        <v>141.934298</v>
      </c>
      <c r="D77" t="n">
        <v>0.828128</v>
      </c>
      <c r="E77" t="n">
        <v>8.603808</v>
      </c>
      <c r="F77" t="n">
        <v>-34.568468</v>
      </c>
      <c r="G77" t="n">
        <v>0</v>
      </c>
      <c r="H77" t="n">
        <v>0.024394</v>
      </c>
      <c r="I77" t="n">
        <v>0.504509</v>
      </c>
      <c r="J77" t="n">
        <v>25.497276</v>
      </c>
      <c r="K77" t="n">
        <v>21.896684</v>
      </c>
      <c r="L77" t="n">
        <v>0</v>
      </c>
      <c r="M77" t="n">
        <v>27.927678</v>
      </c>
      <c r="N77" t="n">
        <v>0</v>
      </c>
      <c r="O77" t="n">
        <v>25.051975</v>
      </c>
      <c r="P77" t="n">
        <v>2.565192</v>
      </c>
      <c r="Q77" t="n">
        <v>0</v>
      </c>
      <c r="R77" t="n">
        <v>0.040026</v>
      </c>
      <c r="S77" t="n">
        <v>13.692702</v>
      </c>
      <c r="T77" t="n">
        <v>2.522381</v>
      </c>
      <c r="U77" t="n">
        <v>0.00012532</v>
      </c>
      <c r="V77" t="n">
        <v>7.046802</v>
      </c>
      <c r="W77" t="n">
        <v>-2.293029</v>
      </c>
      <c r="X77" t="n">
        <v>-2.528093</v>
      </c>
      <c r="Y77" t="n">
        <v>1.89607</v>
      </c>
      <c r="Z77" t="n">
        <v>14.17061</v>
      </c>
      <c r="AA77" t="n">
        <v>23.9163600574713</v>
      </c>
      <c r="AB77" t="n">
        <v>0.094777</v>
      </c>
      <c r="AC77" t="n">
        <v>0.225659523809524</v>
      </c>
      <c r="AD77" t="n">
        <v>0</v>
      </c>
      <c r="AE77" t="n">
        <v>0</v>
      </c>
      <c r="AF77" t="n">
        <v>5.041415</v>
      </c>
      <c r="AG77" t="n">
        <v>10.786588</v>
      </c>
      <c r="AH77" t="n">
        <v>2.109587</v>
      </c>
      <c r="AI77" t="n">
        <v>6.5417</v>
      </c>
      <c r="AJ77" t="n">
        <v>0</v>
      </c>
      <c r="AK77" t="n">
        <v>0</v>
      </c>
      <c r="AL77" t="n">
        <v>0</v>
      </c>
    </row>
    <row r="78">
      <c r="A78" t="s">
        <v>182</v>
      </c>
      <c r="B78" t="s">
        <v>107</v>
      </c>
      <c r="C78" t="n">
        <v>0</v>
      </c>
      <c r="D78" t="n">
        <v>0.4196</v>
      </c>
      <c r="E78" t="n">
        <v>0</v>
      </c>
      <c r="F78" t="n">
        <v>5.531923</v>
      </c>
      <c r="G78" t="n">
        <v>0</v>
      </c>
      <c r="H78" t="n">
        <v>0</v>
      </c>
      <c r="I78" t="n">
        <v>0</v>
      </c>
      <c r="J78" t="n">
        <v>5.951523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0.00009902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s">
        <v>182</v>
      </c>
      <c r="B79" t="s">
        <v>108</v>
      </c>
      <c r="C79" t="n">
        <v>71.900756</v>
      </c>
      <c r="D79" t="n">
        <v>0.556948</v>
      </c>
      <c r="E79" t="n">
        <v>0.155822</v>
      </c>
      <c r="F79" t="n">
        <v>-0.321797</v>
      </c>
      <c r="G79" t="n">
        <v>0</v>
      </c>
      <c r="H79" t="n">
        <v>0.002637</v>
      </c>
      <c r="I79" t="n">
        <v>16.429958</v>
      </c>
      <c r="J79" t="n">
        <v>0</v>
      </c>
      <c r="K79" t="n">
        <v>2.37781</v>
      </c>
      <c r="L79" t="n">
        <v>0</v>
      </c>
      <c r="M79" t="n">
        <v>29.666223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2.357114</v>
      </c>
      <c r="T79" t="n">
        <v>2.467623</v>
      </c>
      <c r="U79" t="n">
        <v>0.00011473</v>
      </c>
      <c r="V79" t="n">
        <v>0.821621</v>
      </c>
      <c r="W79" t="n">
        <v>-0.995298</v>
      </c>
      <c r="X79" t="n">
        <v>-3.186747</v>
      </c>
      <c r="Y79" t="n">
        <v>2.390061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0.915674</v>
      </c>
      <c r="AI79" t="n">
        <v>1.44144</v>
      </c>
      <c r="AJ79" t="n">
        <v>18.549895</v>
      </c>
      <c r="AK79" t="n">
        <v>7.620229</v>
      </c>
      <c r="AL79" t="n">
        <v>-5.387785</v>
      </c>
    </row>
    <row r="80">
      <c r="A80" t="s">
        <v>182</v>
      </c>
      <c r="B80" t="s">
        <v>109</v>
      </c>
      <c r="C80" t="n">
        <v>97.710363</v>
      </c>
      <c r="D80" t="n">
        <v>0.008955</v>
      </c>
      <c r="E80" t="n">
        <v>4.039324</v>
      </c>
      <c r="F80" t="n">
        <v>-27.728551</v>
      </c>
      <c r="G80" t="n">
        <v>0.570706</v>
      </c>
      <c r="H80" t="n">
        <v>0.194524</v>
      </c>
      <c r="I80" t="n">
        <v>1.21153</v>
      </c>
      <c r="J80" t="n">
        <v>0</v>
      </c>
      <c r="K80" t="n">
        <v>6.382384</v>
      </c>
      <c r="L80" t="n">
        <v>0</v>
      </c>
      <c r="M80" t="n">
        <v>14.602958</v>
      </c>
      <c r="N80" t="n">
        <v>36.261576</v>
      </c>
      <c r="O80" t="n">
        <v>7.969528</v>
      </c>
      <c r="P80" t="n">
        <v>0</v>
      </c>
      <c r="Q80" t="n">
        <v>0</v>
      </c>
      <c r="R80" t="n">
        <v>0</v>
      </c>
      <c r="S80" t="n">
        <v>5.168796</v>
      </c>
      <c r="T80" t="n">
        <v>2.493861</v>
      </c>
      <c r="U80" t="n">
        <v>0.0001873</v>
      </c>
      <c r="V80" t="n">
        <v>4.366511</v>
      </c>
      <c r="W80" t="n">
        <v>-1.29135</v>
      </c>
      <c r="X80" t="n">
        <v>-0.693104</v>
      </c>
      <c r="Y80" t="n">
        <v>0.519828</v>
      </c>
      <c r="Z80" t="n">
        <v>7.817254</v>
      </c>
      <c r="AA80" t="n">
        <v>13.3512564408867</v>
      </c>
      <c r="AB80" t="n">
        <v>0.078043</v>
      </c>
      <c r="AC80" t="n">
        <v>0.185816666666667</v>
      </c>
      <c r="AD80" t="n">
        <v>0</v>
      </c>
      <c r="AE80" t="n">
        <v>0</v>
      </c>
      <c r="AF80" t="n">
        <v>0</v>
      </c>
      <c r="AG80" t="n">
        <v>0</v>
      </c>
      <c r="AH80" t="n">
        <v>1.188042</v>
      </c>
      <c r="AI80" t="n">
        <v>3.980754</v>
      </c>
      <c r="AJ80" t="n">
        <v>0.814778</v>
      </c>
      <c r="AK80" t="n">
        <v>0.532414</v>
      </c>
      <c r="AL80" t="n">
        <v>-0.708312</v>
      </c>
    </row>
    <row r="81">
      <c r="A81" t="s">
        <v>182</v>
      </c>
      <c r="B81" t="s">
        <v>110</v>
      </c>
      <c r="C81" t="n">
        <v>946.80668</v>
      </c>
      <c r="D81" t="n">
        <v>42.579816</v>
      </c>
      <c r="E81" t="n">
        <v>231.735304</v>
      </c>
      <c r="F81" t="n">
        <v>19.803288</v>
      </c>
      <c r="G81" t="n">
        <v>0</v>
      </c>
      <c r="H81" t="n">
        <v>1.753505</v>
      </c>
      <c r="I81" t="n">
        <v>15.126062</v>
      </c>
      <c r="J81" t="n">
        <v>294.323086</v>
      </c>
      <c r="K81" t="n">
        <v>387.784859</v>
      </c>
      <c r="L81" t="n">
        <v>0</v>
      </c>
      <c r="M81" t="n">
        <v>322.195358</v>
      </c>
      <c r="N81" t="n">
        <v>0</v>
      </c>
      <c r="O81" t="n">
        <v>93.908903</v>
      </c>
      <c r="P81" t="n">
        <v>0</v>
      </c>
      <c r="Q81" t="n">
        <v>0</v>
      </c>
      <c r="R81" t="n">
        <v>0</v>
      </c>
      <c r="S81" t="n">
        <v>171.968848</v>
      </c>
      <c r="T81" t="n">
        <v>29.959799</v>
      </c>
      <c r="U81" t="n">
        <v>0.00014929</v>
      </c>
      <c r="V81" t="n">
        <v>4.579309</v>
      </c>
      <c r="W81" t="n">
        <v>-70.935896</v>
      </c>
      <c r="X81" t="n">
        <v>-19.557109</v>
      </c>
      <c r="Y81" t="n">
        <v>14.667831</v>
      </c>
      <c r="Z81" t="n">
        <v>13.895099</v>
      </c>
      <c r="AA81" t="n">
        <v>23.8810384544335</v>
      </c>
      <c r="AB81" t="n">
        <v>0.314657</v>
      </c>
      <c r="AC81" t="n">
        <v>0.749183333333333</v>
      </c>
      <c r="AD81" t="n">
        <v>0.14336</v>
      </c>
      <c r="AE81" t="n">
        <v>0.349658536585366</v>
      </c>
      <c r="AF81" t="n">
        <v>105.464249</v>
      </c>
      <c r="AG81" t="n">
        <v>79.555787</v>
      </c>
      <c r="AH81" t="n">
        <v>65.261024</v>
      </c>
      <c r="AI81" t="n">
        <v>1.243576</v>
      </c>
      <c r="AJ81" t="n">
        <v>0.641809</v>
      </c>
      <c r="AK81" t="n">
        <v>1.730209</v>
      </c>
      <c r="AL81" t="n">
        <v>-2.64221</v>
      </c>
    </row>
    <row r="82">
      <c r="A82" t="s">
        <v>182</v>
      </c>
      <c r="B82" t="s">
        <v>111</v>
      </c>
      <c r="C82" t="n">
        <v>0</v>
      </c>
      <c r="D82" t="n">
        <v>0.84347</v>
      </c>
      <c r="E82" t="n">
        <v>0</v>
      </c>
      <c r="F82" t="n">
        <v>1.472214</v>
      </c>
      <c r="G82" t="n">
        <v>0</v>
      </c>
      <c r="H82" t="n">
        <v>0</v>
      </c>
      <c r="I82" t="n">
        <v>0</v>
      </c>
      <c r="J82" t="n">
        <v>2.315684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0.00011637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s">
        <v>182</v>
      </c>
      <c r="B83" t="s">
        <v>112</v>
      </c>
      <c r="C83" t="n">
        <v>0</v>
      </c>
      <c r="D83" t="n">
        <v>2.682407</v>
      </c>
      <c r="E83" t="n">
        <v>0</v>
      </c>
      <c r="F83" t="n">
        <v>9.127345</v>
      </c>
      <c r="G83" t="n">
        <v>0</v>
      </c>
      <c r="H83" t="n">
        <v>0</v>
      </c>
      <c r="I83" t="n">
        <v>0</v>
      </c>
      <c r="J83" t="n">
        <v>11.809752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0.00013942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s">
        <v>182</v>
      </c>
      <c r="B84" t="s">
        <v>113</v>
      </c>
      <c r="C84" t="n">
        <v>20.626122</v>
      </c>
      <c r="D84" t="n">
        <v>1.867797</v>
      </c>
      <c r="E84" t="n">
        <v>7.218738</v>
      </c>
      <c r="F84" t="n">
        <v>-6.131857</v>
      </c>
      <c r="G84" t="n">
        <v>0</v>
      </c>
      <c r="H84" t="n">
        <v>0.050792</v>
      </c>
      <c r="I84" t="n">
        <v>0</v>
      </c>
      <c r="J84" t="n">
        <v>7.157267</v>
      </c>
      <c r="K84" t="n">
        <v>2.766005</v>
      </c>
      <c r="L84" t="n">
        <v>0</v>
      </c>
      <c r="M84" t="n">
        <v>7.846514</v>
      </c>
      <c r="N84" t="n">
        <v>0</v>
      </c>
      <c r="O84" t="n">
        <v>1.208649</v>
      </c>
      <c r="P84" t="n">
        <v>4.258723</v>
      </c>
      <c r="Q84" t="n">
        <v>0</v>
      </c>
      <c r="R84" t="n">
        <v>0.292851</v>
      </c>
      <c r="S84" t="n">
        <v>0</v>
      </c>
      <c r="T84" t="n">
        <v>0</v>
      </c>
      <c r="U84" t="n">
        <v>0.00013835</v>
      </c>
      <c r="V84" t="n">
        <v>0.728618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1.208649</v>
      </c>
      <c r="AC84" t="n">
        <v>3.1868580952381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s">
        <v>182</v>
      </c>
      <c r="B85" t="s">
        <v>114</v>
      </c>
      <c r="C85" t="n">
        <v>0</v>
      </c>
      <c r="D85" t="n">
        <v>3.296458</v>
      </c>
      <c r="E85" t="n">
        <v>0</v>
      </c>
      <c r="F85" t="n">
        <v>2.733668</v>
      </c>
      <c r="G85" t="n">
        <v>0</v>
      </c>
      <c r="H85" t="n">
        <v>0</v>
      </c>
      <c r="I85" t="n">
        <v>0</v>
      </c>
      <c r="J85" t="n">
        <v>6.030127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0.0001165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s">
        <v>182</v>
      </c>
      <c r="B86" t="s">
        <v>115</v>
      </c>
      <c r="C86" t="n">
        <v>0</v>
      </c>
      <c r="D86" t="n">
        <v>31.293696</v>
      </c>
      <c r="E86" t="n">
        <v>0</v>
      </c>
      <c r="F86" t="n">
        <v>19.927423</v>
      </c>
      <c r="G86" t="n">
        <v>0</v>
      </c>
      <c r="H86" t="n">
        <v>0</v>
      </c>
      <c r="I86" t="n">
        <v>0</v>
      </c>
      <c r="J86" t="n">
        <v>51.22112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0.00005794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s">
        <v>182</v>
      </c>
      <c r="B87" t="s">
        <v>116</v>
      </c>
      <c r="C87" t="n">
        <v>37.91651</v>
      </c>
      <c r="D87" t="n">
        <v>4.870772</v>
      </c>
      <c r="E87" t="n">
        <v>54.522836</v>
      </c>
      <c r="F87" t="n">
        <v>-9.409413</v>
      </c>
      <c r="G87" t="n">
        <v>0</v>
      </c>
      <c r="H87" t="n">
        <v>0.005617</v>
      </c>
      <c r="I87" t="n">
        <v>0</v>
      </c>
      <c r="J87" t="n">
        <v>50.861161</v>
      </c>
      <c r="K87" t="n">
        <v>13.597175</v>
      </c>
      <c r="L87" t="n">
        <v>0</v>
      </c>
      <c r="M87" t="n">
        <v>18.769116</v>
      </c>
      <c r="N87" t="n">
        <v>0</v>
      </c>
      <c r="O87" t="n">
        <v>2.412482</v>
      </c>
      <c r="P87" t="n">
        <v>2.22437</v>
      </c>
      <c r="Q87" t="n">
        <v>0</v>
      </c>
      <c r="R87" t="n">
        <v>0.051098</v>
      </c>
      <c r="S87" t="n">
        <v>0.427008</v>
      </c>
      <c r="T87" t="n">
        <v>0.016817</v>
      </c>
      <c r="U87" t="n">
        <v>0.00012988</v>
      </c>
      <c r="V87" t="n">
        <v>1.042488</v>
      </c>
      <c r="W87" t="n">
        <v>-0.464139</v>
      </c>
      <c r="X87" t="n">
        <v>0</v>
      </c>
      <c r="Y87" t="n">
        <v>0</v>
      </c>
      <c r="Z87" t="n">
        <v>0.054897</v>
      </c>
      <c r="AA87" t="n">
        <v>0.11436875</v>
      </c>
      <c r="AB87" t="n">
        <v>2.357585</v>
      </c>
      <c r="AC87" t="n">
        <v>6.64314095238095</v>
      </c>
      <c r="AD87" t="n">
        <v>0</v>
      </c>
      <c r="AE87" t="n">
        <v>0</v>
      </c>
      <c r="AF87" t="n">
        <v>0</v>
      </c>
      <c r="AG87" t="n">
        <v>0</v>
      </c>
      <c r="AH87" t="n">
        <v>0.427008</v>
      </c>
      <c r="AI87" t="n">
        <v>0</v>
      </c>
      <c r="AJ87" t="n">
        <v>0</v>
      </c>
      <c r="AK87" t="n">
        <v>0</v>
      </c>
      <c r="AL87" t="n">
        <v>0</v>
      </c>
    </row>
    <row r="88">
      <c r="A88" t="s">
        <v>182</v>
      </c>
      <c r="B88" t="s">
        <v>117</v>
      </c>
      <c r="C88" t="n">
        <v>298.944121</v>
      </c>
      <c r="D88" t="n">
        <v>247.620506</v>
      </c>
      <c r="E88" t="n">
        <v>73.254095</v>
      </c>
      <c r="F88" t="n">
        <v>44.392623</v>
      </c>
      <c r="G88" t="n">
        <v>-14.630453</v>
      </c>
      <c r="H88" t="n">
        <v>0</v>
      </c>
      <c r="I88" t="n">
        <v>6.798998</v>
      </c>
      <c r="J88" t="n">
        <v>11.441055</v>
      </c>
      <c r="K88" t="n">
        <v>289.971124</v>
      </c>
      <c r="L88" t="n">
        <v>18.976139</v>
      </c>
      <c r="M88" t="n">
        <v>309.229611</v>
      </c>
      <c r="N88" t="n">
        <v>0</v>
      </c>
      <c r="O88" t="n">
        <v>26.421863</v>
      </c>
      <c r="P88" t="n">
        <v>0</v>
      </c>
      <c r="Q88" t="n">
        <v>0</v>
      </c>
      <c r="R88" t="n">
        <v>0</v>
      </c>
      <c r="S88" t="n">
        <v>41.60979</v>
      </c>
      <c r="T88" t="n">
        <v>7.659094</v>
      </c>
      <c r="U88" t="n">
        <v>0.00001801</v>
      </c>
      <c r="V88" t="n">
        <v>8.836499</v>
      </c>
      <c r="W88" t="n">
        <v>-41.347364</v>
      </c>
      <c r="X88" t="n">
        <v>-25.591538</v>
      </c>
      <c r="Y88" t="n">
        <v>19.193654</v>
      </c>
      <c r="Z88" t="n">
        <v>26.421863</v>
      </c>
      <c r="AA88" t="n">
        <v>47.1818982142857</v>
      </c>
      <c r="AB88" t="n">
        <v>0</v>
      </c>
      <c r="AC88" t="n">
        <v>0</v>
      </c>
      <c r="AD88" t="n">
        <v>0</v>
      </c>
      <c r="AE88" t="n">
        <v>0</v>
      </c>
      <c r="AF88" t="n">
        <v>0.000703</v>
      </c>
      <c r="AG88" t="n">
        <v>0</v>
      </c>
      <c r="AH88" t="n">
        <v>38.039575</v>
      </c>
      <c r="AI88" t="n">
        <v>3.569512</v>
      </c>
      <c r="AJ88" t="n">
        <v>16.265811</v>
      </c>
      <c r="AK88" t="n">
        <v>3.247692</v>
      </c>
      <c r="AL88" t="n">
        <v>-5.034143</v>
      </c>
    </row>
    <row r="89">
      <c r="A89" t="s">
        <v>182</v>
      </c>
      <c r="B89" t="s">
        <v>118</v>
      </c>
      <c r="C89" t="n">
        <v>126.354368</v>
      </c>
      <c r="D89" t="n">
        <v>8.672543</v>
      </c>
      <c r="E89" t="n">
        <v>161.040767</v>
      </c>
      <c r="F89" t="n">
        <v>1.743379</v>
      </c>
      <c r="G89" t="n">
        <v>3.318146</v>
      </c>
      <c r="H89" t="n">
        <v>0</v>
      </c>
      <c r="I89" t="n">
        <v>0</v>
      </c>
      <c r="J89" t="n">
        <v>19.605417</v>
      </c>
      <c r="K89" t="n">
        <v>192.398619</v>
      </c>
      <c r="L89" t="n">
        <v>0</v>
      </c>
      <c r="M89" t="n">
        <v>19.986966</v>
      </c>
      <c r="N89" t="n">
        <v>25.108342</v>
      </c>
      <c r="O89" t="n">
        <v>2.120829</v>
      </c>
      <c r="P89" t="n">
        <v>4.760527</v>
      </c>
      <c r="Q89" t="n">
        <v>0</v>
      </c>
      <c r="R89" t="n">
        <v>0</v>
      </c>
      <c r="S89" t="n">
        <v>8.716124</v>
      </c>
      <c r="T89" t="n">
        <v>11.035377</v>
      </c>
      <c r="U89" t="n">
        <v>0.00011165</v>
      </c>
      <c r="V89" t="n">
        <v>0.860464</v>
      </c>
      <c r="W89" t="n">
        <v>-2.164235</v>
      </c>
      <c r="X89" t="n">
        <v>0</v>
      </c>
      <c r="Y89" t="n">
        <v>0</v>
      </c>
      <c r="Z89" t="n">
        <v>2.082963</v>
      </c>
      <c r="AA89" t="n">
        <v>4.22623958333333</v>
      </c>
      <c r="AB89" t="n">
        <v>0.037866</v>
      </c>
      <c r="AC89" t="n">
        <v>0.0947933333333333</v>
      </c>
      <c r="AD89" t="n">
        <v>0</v>
      </c>
      <c r="AE89" t="n">
        <v>0</v>
      </c>
      <c r="AF89" t="n">
        <v>6.35281</v>
      </c>
      <c r="AG89" t="n">
        <v>0</v>
      </c>
      <c r="AH89" t="n">
        <v>1.991096</v>
      </c>
      <c r="AI89" t="n">
        <v>0.372219</v>
      </c>
      <c r="AJ89" t="n">
        <v>12.924943</v>
      </c>
      <c r="AK89" t="n">
        <v>0</v>
      </c>
      <c r="AL89" t="n">
        <v>0</v>
      </c>
    </row>
    <row r="90">
      <c r="A90" t="s">
        <v>182</v>
      </c>
      <c r="B90" t="s">
        <v>119</v>
      </c>
      <c r="C90" t="n">
        <v>614.149235</v>
      </c>
      <c r="D90" t="n">
        <v>1.285971</v>
      </c>
      <c r="E90" t="n">
        <v>113.157503</v>
      </c>
      <c r="F90" t="n">
        <v>-26.652984</v>
      </c>
      <c r="G90" t="n">
        <v>0</v>
      </c>
      <c r="H90" t="n">
        <v>0.05883</v>
      </c>
      <c r="I90" t="n">
        <v>39.677041</v>
      </c>
      <c r="J90" t="n">
        <v>97.019013</v>
      </c>
      <c r="K90" t="n">
        <v>101.861218</v>
      </c>
      <c r="L90" t="n">
        <v>0</v>
      </c>
      <c r="M90" t="n">
        <v>85.874738</v>
      </c>
      <c r="N90" t="n">
        <v>334.201681</v>
      </c>
      <c r="O90" t="n">
        <v>14.472042</v>
      </c>
      <c r="P90" t="n">
        <v>0</v>
      </c>
      <c r="Q90" t="n">
        <v>0</v>
      </c>
      <c r="R90" t="n">
        <v>0</v>
      </c>
      <c r="S90" t="n">
        <v>8.951207</v>
      </c>
      <c r="T90" t="n">
        <v>12.149015</v>
      </c>
      <c r="U90" t="n">
        <v>0.00010334</v>
      </c>
      <c r="V90" t="n">
        <v>3.619915</v>
      </c>
      <c r="W90" t="n">
        <v>-7.507714</v>
      </c>
      <c r="X90" t="n">
        <v>-5.191085</v>
      </c>
      <c r="Y90" t="n">
        <v>3.893313</v>
      </c>
      <c r="Z90" t="n">
        <v>10.005031</v>
      </c>
      <c r="AA90" t="n">
        <v>17.3036048029557</v>
      </c>
      <c r="AB90" t="n">
        <v>0</v>
      </c>
      <c r="AC90" t="n">
        <v>0</v>
      </c>
      <c r="AD90" t="n">
        <v>0</v>
      </c>
      <c r="AE90" t="n">
        <v>0</v>
      </c>
      <c r="AF90" t="n">
        <v>0.442786</v>
      </c>
      <c r="AG90" t="n">
        <v>4.467011</v>
      </c>
      <c r="AH90" t="n">
        <v>6.907097</v>
      </c>
      <c r="AI90" t="n">
        <v>1.601323</v>
      </c>
      <c r="AJ90" t="n">
        <v>18.081618</v>
      </c>
      <c r="AK90" t="n">
        <v>2.802298</v>
      </c>
      <c r="AL90" t="n">
        <v>-4.403474</v>
      </c>
    </row>
    <row r="91">
      <c r="A91" t="s">
        <v>182</v>
      </c>
      <c r="B91" t="s">
        <v>120</v>
      </c>
      <c r="C91" t="n">
        <v>68.088884</v>
      </c>
      <c r="D91" t="n">
        <v>19.767487</v>
      </c>
      <c r="E91" t="n">
        <v>19.099654</v>
      </c>
      <c r="F91" t="n">
        <v>5.811991</v>
      </c>
      <c r="G91" t="n">
        <v>0</v>
      </c>
      <c r="H91" t="n">
        <v>0</v>
      </c>
      <c r="I91" t="n">
        <v>0.830013</v>
      </c>
      <c r="J91" t="n">
        <v>55.860755</v>
      </c>
      <c r="K91" t="n">
        <v>33.22913</v>
      </c>
      <c r="L91" t="n">
        <v>0</v>
      </c>
      <c r="M91" t="n">
        <v>12.749187</v>
      </c>
      <c r="N91" t="n">
        <v>0</v>
      </c>
      <c r="O91" t="n">
        <v>9.598832</v>
      </c>
      <c r="P91" t="n">
        <v>0</v>
      </c>
      <c r="Q91" t="n">
        <v>0.329518</v>
      </c>
      <c r="R91" t="n">
        <v>0.004337</v>
      </c>
      <c r="S91" t="n">
        <v>19.349923</v>
      </c>
      <c r="T91" t="n">
        <v>0.922485</v>
      </c>
      <c r="U91" t="n">
        <v>0.00003779</v>
      </c>
      <c r="V91" t="n">
        <v>1.998944</v>
      </c>
      <c r="W91" t="n">
        <v>-19.691654</v>
      </c>
      <c r="X91" t="n">
        <v>-1.658046</v>
      </c>
      <c r="Y91" t="n">
        <v>1.243535</v>
      </c>
      <c r="Z91" t="n">
        <v>6.48161</v>
      </c>
      <c r="AA91" t="n">
        <v>11.7625877688834</v>
      </c>
      <c r="AB91" t="n">
        <v>0.004788</v>
      </c>
      <c r="AC91" t="n">
        <v>0.0114</v>
      </c>
      <c r="AD91" t="n">
        <v>0</v>
      </c>
      <c r="AE91" t="n">
        <v>0</v>
      </c>
      <c r="AF91" t="n">
        <v>1.233601</v>
      </c>
      <c r="AG91" t="n">
        <v>3.112433</v>
      </c>
      <c r="AH91" t="n">
        <v>18.116322</v>
      </c>
      <c r="AI91" t="n">
        <v>0</v>
      </c>
      <c r="AJ91" t="n">
        <v>0</v>
      </c>
      <c r="AK91" t="n">
        <v>0</v>
      </c>
      <c r="AL91" t="n">
        <v>0</v>
      </c>
    </row>
    <row r="92">
      <c r="A92" t="s">
        <v>182</v>
      </c>
      <c r="B92" t="s">
        <v>121</v>
      </c>
      <c r="C92" t="n">
        <v>7.378741</v>
      </c>
      <c r="D92" t="n">
        <v>2.858434</v>
      </c>
      <c r="E92" t="n">
        <v>1.056168</v>
      </c>
      <c r="F92" t="n">
        <v>11.766519</v>
      </c>
      <c r="G92" t="n">
        <v>0</v>
      </c>
      <c r="H92" t="n">
        <v>0</v>
      </c>
      <c r="I92" t="n">
        <v>0.228904</v>
      </c>
      <c r="J92" t="n">
        <v>4.483696</v>
      </c>
      <c r="K92" t="n">
        <v>3.957382</v>
      </c>
      <c r="L92" t="n">
        <v>0</v>
      </c>
      <c r="M92" t="n">
        <v>9.458328</v>
      </c>
      <c r="N92" t="n">
        <v>0</v>
      </c>
      <c r="O92" t="n">
        <v>3.165358</v>
      </c>
      <c r="P92" t="n">
        <v>0</v>
      </c>
      <c r="Q92" t="n">
        <v>0</v>
      </c>
      <c r="R92" t="n">
        <v>0</v>
      </c>
      <c r="S92" t="n">
        <v>4.172591</v>
      </c>
      <c r="T92" t="n">
        <v>0.93898</v>
      </c>
      <c r="U92" t="n">
        <v>0.00005874</v>
      </c>
      <c r="V92" t="n">
        <v>0.890179</v>
      </c>
      <c r="W92" t="n">
        <v>-4.377406</v>
      </c>
      <c r="X92" t="n">
        <v>0</v>
      </c>
      <c r="Y92" t="n">
        <v>0</v>
      </c>
      <c r="Z92" t="n">
        <v>3.165358</v>
      </c>
      <c r="AA92" t="n">
        <v>5.27559666666667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4.027213</v>
      </c>
      <c r="AI92" t="n">
        <v>0.145378</v>
      </c>
      <c r="AJ92" t="n">
        <v>1.032028</v>
      </c>
      <c r="AK92" t="n">
        <v>0</v>
      </c>
      <c r="AL92" t="n">
        <v>0</v>
      </c>
    </row>
    <row r="93">
      <c r="A93" t="s">
        <v>182</v>
      </c>
      <c r="B93" t="s">
        <v>122</v>
      </c>
      <c r="C93" t="n">
        <v>34.233589</v>
      </c>
      <c r="D93" t="n">
        <v>0.278658</v>
      </c>
      <c r="E93" t="n">
        <v>0.02915</v>
      </c>
      <c r="F93" t="n">
        <v>-5.420871</v>
      </c>
      <c r="G93" t="n">
        <v>0</v>
      </c>
      <c r="H93" t="n">
        <v>0</v>
      </c>
      <c r="I93" t="n">
        <v>0.809252</v>
      </c>
      <c r="J93" t="n">
        <v>4.554114</v>
      </c>
      <c r="K93" t="n">
        <v>1.453193</v>
      </c>
      <c r="L93" t="n">
        <v>0</v>
      </c>
      <c r="M93" t="n">
        <v>9.955687</v>
      </c>
      <c r="N93" t="n">
        <v>0</v>
      </c>
      <c r="O93" t="n">
        <v>0.886617</v>
      </c>
      <c r="P93" t="n">
        <v>0</v>
      </c>
      <c r="Q93" t="n">
        <v>0</v>
      </c>
      <c r="R93" t="n">
        <v>0</v>
      </c>
      <c r="S93" t="n">
        <v>6.937446</v>
      </c>
      <c r="T93" t="n">
        <v>6.865403</v>
      </c>
      <c r="U93" t="n">
        <v>0.00006202</v>
      </c>
      <c r="V93" t="n">
        <v>2.420595</v>
      </c>
      <c r="W93" t="n">
        <v>-2.908703</v>
      </c>
      <c r="X93" t="n">
        <v>0</v>
      </c>
      <c r="Y93" t="n">
        <v>0</v>
      </c>
      <c r="Z93" t="n">
        <v>0.883819</v>
      </c>
      <c r="AA93" t="n">
        <v>1.74537053571429</v>
      </c>
      <c r="AB93" t="n">
        <v>0.002799</v>
      </c>
      <c r="AC93" t="n">
        <v>0.00667619047619048</v>
      </c>
      <c r="AD93" t="n">
        <v>0</v>
      </c>
      <c r="AE93" t="n">
        <v>0</v>
      </c>
      <c r="AF93" t="n">
        <v>0</v>
      </c>
      <c r="AG93" t="n">
        <v>0</v>
      </c>
      <c r="AH93" t="n">
        <v>2.676007</v>
      </c>
      <c r="AI93" t="n">
        <v>4.261439</v>
      </c>
      <c r="AJ93" t="n">
        <v>0.567517</v>
      </c>
      <c r="AK93" t="n">
        <v>0</v>
      </c>
      <c r="AL93" t="n">
        <v>0</v>
      </c>
    </row>
    <row r="94">
      <c r="A94" t="s">
        <v>182</v>
      </c>
      <c r="B94" t="s">
        <v>123</v>
      </c>
      <c r="C94" t="n">
        <v>67.320972</v>
      </c>
      <c r="D94" t="n">
        <v>1.053925</v>
      </c>
      <c r="E94" t="n">
        <v>0.222058</v>
      </c>
      <c r="F94" t="n">
        <v>-13.112172</v>
      </c>
      <c r="G94" t="n">
        <v>-6.775526</v>
      </c>
      <c r="H94" t="n">
        <v>0</v>
      </c>
      <c r="I94" t="n">
        <v>2.298481</v>
      </c>
      <c r="J94" t="n">
        <v>3.851531</v>
      </c>
      <c r="K94" t="n">
        <v>12.285661</v>
      </c>
      <c r="L94" t="n">
        <v>0</v>
      </c>
      <c r="M94" t="n">
        <v>34.128431</v>
      </c>
      <c r="N94" t="n">
        <v>0</v>
      </c>
      <c r="O94" t="n">
        <v>5.240017</v>
      </c>
      <c r="P94" t="n">
        <v>0</v>
      </c>
      <c r="Q94" t="n">
        <v>0</v>
      </c>
      <c r="R94" t="n">
        <v>0</v>
      </c>
      <c r="S94" t="n">
        <v>9.754914</v>
      </c>
      <c r="T94" t="n">
        <v>2.83055</v>
      </c>
      <c r="U94" t="n">
        <v>0.0000604</v>
      </c>
      <c r="V94" t="n">
        <v>1.896688</v>
      </c>
      <c r="W94" t="n">
        <v>-9.563791</v>
      </c>
      <c r="X94" t="n">
        <v>-2.033694</v>
      </c>
      <c r="Y94" t="n">
        <v>1.52527</v>
      </c>
      <c r="Z94" t="n">
        <v>5.234957</v>
      </c>
      <c r="AA94" t="n">
        <v>9.00177416050903</v>
      </c>
      <c r="AB94" t="n">
        <v>0.005039</v>
      </c>
      <c r="AC94" t="n">
        <v>0.011997619047619</v>
      </c>
      <c r="AD94" t="n">
        <v>0.000021</v>
      </c>
      <c r="AE94" t="n">
        <v>0.000051219512195122</v>
      </c>
      <c r="AF94" t="n">
        <v>0</v>
      </c>
      <c r="AG94" t="n">
        <v>0</v>
      </c>
      <c r="AH94" t="n">
        <v>8.798688</v>
      </c>
      <c r="AI94" t="n">
        <v>0.956226</v>
      </c>
      <c r="AJ94" t="n">
        <v>1.700851</v>
      </c>
      <c r="AK94" t="n">
        <v>0.782213</v>
      </c>
      <c r="AL94" t="n">
        <v>-0.54007</v>
      </c>
    </row>
    <row r="95">
      <c r="A95" t="s">
        <v>182</v>
      </c>
      <c r="B95" t="s">
        <v>124</v>
      </c>
      <c r="C95" t="n">
        <v>214.844151</v>
      </c>
      <c r="D95" t="n">
        <v>0.113853</v>
      </c>
      <c r="E95" t="n">
        <v>0.013695</v>
      </c>
      <c r="F95" t="n">
        <v>-78.088155</v>
      </c>
      <c r="G95" t="n">
        <v>-4.680265</v>
      </c>
      <c r="H95" t="n">
        <v>0</v>
      </c>
      <c r="I95" t="n">
        <v>21.41099</v>
      </c>
      <c r="J95" t="n">
        <v>2.200377</v>
      </c>
      <c r="K95" t="n">
        <v>1.422267</v>
      </c>
      <c r="L95" t="n">
        <v>0</v>
      </c>
      <c r="M95" t="n">
        <v>42.119373</v>
      </c>
      <c r="N95" t="n">
        <v>0</v>
      </c>
      <c r="O95" t="n">
        <v>50.733432</v>
      </c>
      <c r="P95" t="n">
        <v>0</v>
      </c>
      <c r="Q95" t="n">
        <v>0</v>
      </c>
      <c r="R95" t="n">
        <v>0.000056</v>
      </c>
      <c r="S95" t="n">
        <v>7.251212</v>
      </c>
      <c r="T95" t="n">
        <v>8.304444</v>
      </c>
      <c r="U95" t="n">
        <v>0.00007848</v>
      </c>
      <c r="V95" t="n">
        <v>13.41896</v>
      </c>
      <c r="W95" t="n">
        <v>-6.590343</v>
      </c>
      <c r="X95" t="n">
        <v>-3.29033</v>
      </c>
      <c r="Y95" t="n">
        <v>2.467747</v>
      </c>
      <c r="Z95" t="n">
        <v>50.375406</v>
      </c>
      <c r="AA95" t="n">
        <v>85.7386955275041</v>
      </c>
      <c r="AB95" t="n">
        <v>0.121506</v>
      </c>
      <c r="AC95" t="n">
        <v>0.2893</v>
      </c>
      <c r="AD95" t="n">
        <v>0.23652</v>
      </c>
      <c r="AE95" t="n">
        <v>0.577245257452574</v>
      </c>
      <c r="AF95" t="n">
        <v>0</v>
      </c>
      <c r="AG95" t="n">
        <v>0</v>
      </c>
      <c r="AH95" t="n">
        <v>6.063116</v>
      </c>
      <c r="AI95" t="n">
        <v>1.188096</v>
      </c>
      <c r="AJ95" t="n">
        <v>13.456374</v>
      </c>
      <c r="AK95" t="n">
        <v>3.640692</v>
      </c>
      <c r="AL95" t="n">
        <v>-1.562576</v>
      </c>
    </row>
    <row r="96">
      <c r="A96" t="s">
        <v>182</v>
      </c>
      <c r="B96" t="s">
        <v>125</v>
      </c>
      <c r="C96" t="n">
        <v>28.067442</v>
      </c>
      <c r="D96" t="n">
        <v>4.799631</v>
      </c>
      <c r="E96" t="n">
        <v>2.39397</v>
      </c>
      <c r="F96" t="n">
        <v>25.563162</v>
      </c>
      <c r="G96" t="n">
        <v>-9.758144</v>
      </c>
      <c r="H96" t="n">
        <v>0</v>
      </c>
      <c r="I96" t="n">
        <v>0</v>
      </c>
      <c r="J96" t="n">
        <v>16.35232</v>
      </c>
      <c r="K96" t="n">
        <v>17.604022</v>
      </c>
      <c r="L96" t="n">
        <v>0.567363</v>
      </c>
      <c r="M96" t="n">
        <v>27.982005</v>
      </c>
      <c r="N96" t="n">
        <v>0</v>
      </c>
      <c r="O96" t="n">
        <v>5.37301</v>
      </c>
      <c r="P96" t="n">
        <v>0</v>
      </c>
      <c r="Q96" t="n">
        <v>0</v>
      </c>
      <c r="R96" t="n">
        <v>0</v>
      </c>
      <c r="S96" t="n">
        <v>14.034316</v>
      </c>
      <c r="T96" t="n">
        <v>2.321148</v>
      </c>
      <c r="U96" t="n">
        <v>0.00005877</v>
      </c>
      <c r="V96" t="n">
        <v>1.387578</v>
      </c>
      <c r="W96" t="n">
        <v>-13.936956</v>
      </c>
      <c r="X96" t="n">
        <v>0</v>
      </c>
      <c r="Y96" t="n">
        <v>0</v>
      </c>
      <c r="Z96" t="n">
        <v>5.372491</v>
      </c>
      <c r="AA96" t="n">
        <v>8.95415166666667</v>
      </c>
      <c r="AB96" t="n">
        <v>0.00052</v>
      </c>
      <c r="AC96" t="n">
        <v>0.00123809523809524</v>
      </c>
      <c r="AD96" t="n">
        <v>0</v>
      </c>
      <c r="AE96" t="n">
        <v>0</v>
      </c>
      <c r="AF96" t="n">
        <v>0</v>
      </c>
      <c r="AG96" t="n">
        <v>0</v>
      </c>
      <c r="AH96" t="n">
        <v>12.822</v>
      </c>
      <c r="AI96" t="n">
        <v>1.212316</v>
      </c>
      <c r="AJ96" t="n">
        <v>0.28512</v>
      </c>
      <c r="AK96" t="n">
        <v>0</v>
      </c>
      <c r="AL96" t="n">
        <v>0</v>
      </c>
    </row>
    <row r="97">
      <c r="A97" t="s">
        <v>182</v>
      </c>
      <c r="B97" t="s">
        <v>126</v>
      </c>
      <c r="C97" t="n">
        <v>13.086239</v>
      </c>
      <c r="D97" t="n">
        <v>3.085682</v>
      </c>
      <c r="E97" t="n">
        <v>1.647128</v>
      </c>
      <c r="F97" t="n">
        <v>9.194369</v>
      </c>
      <c r="G97" t="n">
        <v>0</v>
      </c>
      <c r="H97" t="n">
        <v>0</v>
      </c>
      <c r="I97" t="n">
        <v>0.103064</v>
      </c>
      <c r="J97" t="n">
        <v>7.886103</v>
      </c>
      <c r="K97" t="n">
        <v>3.558612</v>
      </c>
      <c r="L97" t="n">
        <v>0</v>
      </c>
      <c r="M97" t="n">
        <v>15.187467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6.174477</v>
      </c>
      <c r="T97" t="n">
        <v>0.517765</v>
      </c>
      <c r="U97" t="n">
        <v>0.0000555</v>
      </c>
      <c r="V97" t="n">
        <v>0.122097</v>
      </c>
      <c r="W97" t="n">
        <v>-6.49785</v>
      </c>
      <c r="X97" t="n">
        <v>-0.57509</v>
      </c>
      <c r="Y97" t="n">
        <v>0.431318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5.978022</v>
      </c>
      <c r="AI97" t="n">
        <v>0.196455</v>
      </c>
      <c r="AJ97" t="n">
        <v>0.227551</v>
      </c>
      <c r="AK97" t="n">
        <v>0</v>
      </c>
      <c r="AL97" t="n">
        <v>0</v>
      </c>
    </row>
    <row r="98">
      <c r="A98" t="s">
        <v>182</v>
      </c>
      <c r="B98" t="s">
        <v>127</v>
      </c>
      <c r="C98" t="n">
        <v>23.914092</v>
      </c>
      <c r="D98" t="n">
        <v>3.18648</v>
      </c>
      <c r="E98" t="n">
        <v>1.390096</v>
      </c>
      <c r="F98" t="n">
        <v>4.843486</v>
      </c>
      <c r="G98" t="n">
        <v>-8.626148</v>
      </c>
      <c r="H98" t="n">
        <v>0</v>
      </c>
      <c r="I98" t="n">
        <v>0.259555</v>
      </c>
      <c r="J98" t="n">
        <v>9.080834</v>
      </c>
      <c r="K98" t="n">
        <v>8.368204</v>
      </c>
      <c r="L98" t="n">
        <v>0.588923</v>
      </c>
      <c r="M98" t="n">
        <v>18.790373</v>
      </c>
      <c r="N98" t="n">
        <v>0</v>
      </c>
      <c r="O98" t="n">
        <v>2.721192</v>
      </c>
      <c r="P98" t="n">
        <v>0</v>
      </c>
      <c r="Q98" t="n">
        <v>0</v>
      </c>
      <c r="R98" t="n">
        <v>0</v>
      </c>
      <c r="S98" t="n">
        <v>12.155074</v>
      </c>
      <c r="T98" t="n">
        <v>0.483005</v>
      </c>
      <c r="U98" t="n">
        <v>0.00005848</v>
      </c>
      <c r="V98" t="n">
        <v>2.114706</v>
      </c>
      <c r="W98" t="n">
        <v>-10.183054</v>
      </c>
      <c r="X98" t="n">
        <v>-1.172759</v>
      </c>
      <c r="Y98" t="n">
        <v>0.879569</v>
      </c>
      <c r="Z98" t="n">
        <v>2.720115</v>
      </c>
      <c r="AA98" t="n">
        <v>4.64437698481117</v>
      </c>
      <c r="AB98" t="n">
        <v>0.001076</v>
      </c>
      <c r="AC98" t="n">
        <v>0.00256190476190476</v>
      </c>
      <c r="AD98" t="n">
        <v>0</v>
      </c>
      <c r="AE98" t="n">
        <v>0</v>
      </c>
      <c r="AF98" t="n">
        <v>0</v>
      </c>
      <c r="AG98" t="n">
        <v>0</v>
      </c>
      <c r="AH98" t="n">
        <v>9.368409</v>
      </c>
      <c r="AI98" t="n">
        <v>2.786665</v>
      </c>
      <c r="AJ98" t="n">
        <v>0.034495</v>
      </c>
      <c r="AK98" t="n">
        <v>0.071894</v>
      </c>
      <c r="AL98" t="n">
        <v>-0.116945</v>
      </c>
    </row>
    <row r="99">
      <c r="A99" t="s">
        <v>182</v>
      </c>
      <c r="B99" t="s">
        <v>128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0.00005896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s">
        <v>182</v>
      </c>
      <c r="B100" t="s">
        <v>129</v>
      </c>
      <c r="C100" t="n">
        <v>230.992422</v>
      </c>
      <c r="D100" t="n">
        <v>4.566833</v>
      </c>
      <c r="E100" t="n">
        <v>185.369453</v>
      </c>
      <c r="F100" t="n">
        <v>-43.409282</v>
      </c>
      <c r="G100" t="n">
        <v>0</v>
      </c>
      <c r="H100" t="n">
        <v>0.027349</v>
      </c>
      <c r="I100" t="n">
        <v>0.106773</v>
      </c>
      <c r="J100" t="n">
        <v>218.1391</v>
      </c>
      <c r="K100" t="n">
        <v>28.321587</v>
      </c>
      <c r="L100" t="n">
        <v>0</v>
      </c>
      <c r="M100" t="n">
        <v>84.690326</v>
      </c>
      <c r="N100" t="n">
        <v>0</v>
      </c>
      <c r="O100" t="n">
        <v>38.266465</v>
      </c>
      <c r="P100" t="n">
        <v>0</v>
      </c>
      <c r="Q100" t="n">
        <v>0</v>
      </c>
      <c r="R100" t="n">
        <v>0</v>
      </c>
      <c r="S100" t="n">
        <v>34.985989</v>
      </c>
      <c r="T100" t="n">
        <v>0.729727</v>
      </c>
      <c r="U100" t="n">
        <v>0.00012962</v>
      </c>
      <c r="V100" t="n">
        <v>6.4184</v>
      </c>
      <c r="W100" t="n">
        <v>-27.74789</v>
      </c>
      <c r="X100" t="n">
        <v>0</v>
      </c>
      <c r="Y100" t="n">
        <v>0</v>
      </c>
      <c r="Z100" t="n">
        <v>6.466144</v>
      </c>
      <c r="AA100" t="n">
        <v>11.3238111350575</v>
      </c>
      <c r="AB100" t="n">
        <v>0.912281</v>
      </c>
      <c r="AC100" t="n">
        <v>2.3367519047619</v>
      </c>
      <c r="AD100" t="n">
        <v>0</v>
      </c>
      <c r="AE100" t="n">
        <v>0</v>
      </c>
      <c r="AF100" t="n">
        <v>1.072386</v>
      </c>
      <c r="AG100" t="n">
        <v>30.88804</v>
      </c>
      <c r="AH100" t="n">
        <v>25.528059</v>
      </c>
      <c r="AI100" t="n">
        <v>8.385545</v>
      </c>
      <c r="AJ100" t="n">
        <v>0</v>
      </c>
      <c r="AK100" t="n">
        <v>0</v>
      </c>
      <c r="AL100" t="n">
        <v>0</v>
      </c>
    </row>
    <row r="101">
      <c r="A101" t="s">
        <v>182</v>
      </c>
      <c r="B101" t="s">
        <v>130</v>
      </c>
      <c r="C101" t="n">
        <v>0</v>
      </c>
      <c r="D101" t="n">
        <v>1.090082</v>
      </c>
      <c r="E101" t="n">
        <v>0</v>
      </c>
      <c r="F101" t="n">
        <v>7.819972</v>
      </c>
      <c r="G101" t="n">
        <v>0</v>
      </c>
      <c r="H101" t="n">
        <v>0</v>
      </c>
      <c r="I101" t="n">
        <v>0</v>
      </c>
      <c r="J101" t="n">
        <v>8.910054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0.00009648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s">
        <v>182</v>
      </c>
      <c r="B102" t="s">
        <v>131</v>
      </c>
      <c r="C102" t="n">
        <v>30.675019</v>
      </c>
      <c r="D102" t="n">
        <v>2.177726</v>
      </c>
      <c r="E102" t="n">
        <v>0</v>
      </c>
      <c r="F102" t="n">
        <v>4.082511</v>
      </c>
      <c r="G102" t="n">
        <v>0</v>
      </c>
      <c r="H102" t="n">
        <v>0</v>
      </c>
      <c r="I102" t="n">
        <v>5.69628</v>
      </c>
      <c r="J102" t="n">
        <v>8.957796</v>
      </c>
      <c r="K102" t="n">
        <v>5.830402</v>
      </c>
      <c r="L102" t="n">
        <v>0</v>
      </c>
      <c r="M102" t="n">
        <v>2.22879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0.24201</v>
      </c>
      <c r="T102" t="n">
        <v>0</v>
      </c>
      <c r="U102" t="n">
        <v>0.00004178</v>
      </c>
      <c r="V102" t="n">
        <v>0.09959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0.06729</v>
      </c>
      <c r="AG102" t="n">
        <v>0</v>
      </c>
      <c r="AH102" t="n">
        <v>0</v>
      </c>
      <c r="AI102" t="n">
        <v>0.17472</v>
      </c>
      <c r="AJ102" t="n">
        <v>13.75076</v>
      </c>
      <c r="AK102" t="n">
        <v>0.244251</v>
      </c>
      <c r="AL102" t="n">
        <v>-0.015044</v>
      </c>
    </row>
    <row r="103">
      <c r="A103" t="s">
        <v>182</v>
      </c>
      <c r="B103" t="s">
        <v>132</v>
      </c>
      <c r="C103" t="n">
        <v>28.24156</v>
      </c>
      <c r="D103" t="n">
        <v>0.298331</v>
      </c>
      <c r="E103" t="n">
        <v>0</v>
      </c>
      <c r="F103" t="n">
        <v>4.772418</v>
      </c>
      <c r="G103" t="n">
        <v>0</v>
      </c>
      <c r="H103" t="n">
        <v>0.000406</v>
      </c>
      <c r="I103" t="n">
        <v>2.94181</v>
      </c>
      <c r="J103" t="n">
        <v>2.047316</v>
      </c>
      <c r="K103" t="n">
        <v>6.556628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1.760395</v>
      </c>
      <c r="T103" t="n">
        <v>0</v>
      </c>
      <c r="U103" t="n">
        <v>0.00005554</v>
      </c>
      <c r="V103" t="n">
        <v>0.971006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0.056875</v>
      </c>
      <c r="AG103" t="n">
        <v>0</v>
      </c>
      <c r="AH103" t="n">
        <v>0</v>
      </c>
      <c r="AI103" t="n">
        <v>1.70352</v>
      </c>
      <c r="AJ103" t="n">
        <v>20.006266</v>
      </c>
      <c r="AK103" t="n">
        <v>0.000004</v>
      </c>
      <c r="AL103" t="n">
        <v>-0.000073</v>
      </c>
    </row>
    <row r="104">
      <c r="A104" t="s">
        <v>182</v>
      </c>
      <c r="B104" t="s">
        <v>133</v>
      </c>
      <c r="C104" t="n">
        <v>119.713194</v>
      </c>
      <c r="D104" t="n">
        <v>6.513388</v>
      </c>
      <c r="E104" t="n">
        <v>0</v>
      </c>
      <c r="F104" t="n">
        <v>31.971572</v>
      </c>
      <c r="G104" t="n">
        <v>0</v>
      </c>
      <c r="H104" t="n">
        <v>0.026717</v>
      </c>
      <c r="I104" t="n">
        <v>22.586122</v>
      </c>
      <c r="J104" t="n">
        <v>35.850288</v>
      </c>
      <c r="K104" t="n">
        <v>8.094072</v>
      </c>
      <c r="L104" t="n">
        <v>0</v>
      </c>
      <c r="M104" t="n">
        <v>7.282023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0.774955</v>
      </c>
      <c r="T104" t="n">
        <v>0</v>
      </c>
      <c r="U104" t="n">
        <v>0.00005642</v>
      </c>
      <c r="V104" t="n">
        <v>0.248976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0.338156</v>
      </c>
      <c r="AG104" t="n">
        <v>0</v>
      </c>
      <c r="AH104" t="n">
        <v>0</v>
      </c>
      <c r="AI104" t="n">
        <v>0.4368</v>
      </c>
      <c r="AJ104" t="n">
        <v>81.476533</v>
      </c>
      <c r="AK104" t="n">
        <v>2.281722</v>
      </c>
      <c r="AL104" t="n">
        <v>-0.17436</v>
      </c>
    </row>
    <row r="105">
      <c r="A105" t="s">
        <v>182</v>
      </c>
      <c r="B105" t="s">
        <v>134</v>
      </c>
      <c r="C105" t="n">
        <v>223.307986</v>
      </c>
      <c r="D105" t="n">
        <v>0.518431</v>
      </c>
      <c r="E105" t="n">
        <v>15.045835</v>
      </c>
      <c r="F105" t="n">
        <v>-11.62504</v>
      </c>
      <c r="G105" t="n">
        <v>4.613162</v>
      </c>
      <c r="H105" t="n">
        <v>0.179072</v>
      </c>
      <c r="I105" t="n">
        <v>0.962673</v>
      </c>
      <c r="J105" t="n">
        <v>46.259064</v>
      </c>
      <c r="K105" t="n">
        <v>42.509348</v>
      </c>
      <c r="L105" t="n">
        <v>0</v>
      </c>
      <c r="M105" t="n">
        <v>27.335336</v>
      </c>
      <c r="N105" t="n">
        <v>29.575633</v>
      </c>
      <c r="O105" t="n">
        <v>36.114132</v>
      </c>
      <c r="P105" t="n">
        <v>3.389564</v>
      </c>
      <c r="Q105" t="n">
        <v>0.290049</v>
      </c>
      <c r="R105" t="n">
        <v>0</v>
      </c>
      <c r="S105" t="n">
        <v>27.247704</v>
      </c>
      <c r="T105" t="n">
        <v>8.737296</v>
      </c>
      <c r="U105" t="n">
        <v>0.00016204</v>
      </c>
      <c r="V105" t="n">
        <v>29.360024</v>
      </c>
      <c r="W105" t="n">
        <v>0</v>
      </c>
      <c r="X105" t="n">
        <v>-2.127647</v>
      </c>
      <c r="Y105" t="n">
        <v>1.595735</v>
      </c>
      <c r="Z105" t="n">
        <v>31.446067</v>
      </c>
      <c r="AA105" t="n">
        <v>52.4101116666667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4.668065</v>
      </c>
      <c r="AH105" t="n">
        <v>0</v>
      </c>
      <c r="AI105" t="n">
        <v>27.247704</v>
      </c>
      <c r="AJ105" t="n">
        <v>0.592145</v>
      </c>
      <c r="AK105" t="n">
        <v>0.096727</v>
      </c>
      <c r="AL105" t="n">
        <v>-0.122789</v>
      </c>
    </row>
    <row r="106">
      <c r="A106" t="s">
        <v>182</v>
      </c>
      <c r="B106" t="s">
        <v>135</v>
      </c>
      <c r="C106" t="n">
        <v>59.794947</v>
      </c>
      <c r="D106" t="n">
        <v>45.474437</v>
      </c>
      <c r="E106" t="n">
        <v>24.784852</v>
      </c>
      <c r="F106" t="n">
        <v>2.452353</v>
      </c>
      <c r="G106" t="n">
        <v>0</v>
      </c>
      <c r="H106" t="n">
        <v>0</v>
      </c>
      <c r="I106" t="n">
        <v>1.123657</v>
      </c>
      <c r="J106" t="n">
        <v>38.191677</v>
      </c>
      <c r="K106" t="n">
        <v>32.815526</v>
      </c>
      <c r="L106" t="n">
        <v>0.814881</v>
      </c>
      <c r="M106" t="n">
        <v>47.07472</v>
      </c>
      <c r="N106" t="n">
        <v>0</v>
      </c>
      <c r="O106" t="n">
        <v>0.356495</v>
      </c>
      <c r="P106" t="n">
        <v>0</v>
      </c>
      <c r="Q106" t="n">
        <v>0</v>
      </c>
      <c r="R106" t="n">
        <v>0</v>
      </c>
      <c r="S106" t="n">
        <v>1.589203</v>
      </c>
      <c r="T106" t="n">
        <v>5.488436</v>
      </c>
      <c r="U106" t="n">
        <v>0.00001707</v>
      </c>
      <c r="V106" t="n">
        <v>1.026963</v>
      </c>
      <c r="W106" t="n">
        <v>0</v>
      </c>
      <c r="X106" t="n">
        <v>0</v>
      </c>
      <c r="Y106" t="n">
        <v>0</v>
      </c>
      <c r="Z106" t="n">
        <v>0.356495</v>
      </c>
      <c r="AA106" t="n">
        <v>0.614646551724138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1.589203</v>
      </c>
      <c r="AJ106" t="n">
        <v>6.949988</v>
      </c>
      <c r="AK106" t="n">
        <v>5.342633</v>
      </c>
      <c r="AL106" t="n">
        <v>-7.240634</v>
      </c>
    </row>
    <row r="107">
      <c r="A107" t="s">
        <v>182</v>
      </c>
      <c r="B107" t="s">
        <v>136</v>
      </c>
      <c r="C107" t="n">
        <v>14.095062</v>
      </c>
      <c r="D107" t="n">
        <v>0</v>
      </c>
      <c r="E107" t="n">
        <v>62.934839</v>
      </c>
      <c r="F107" t="n">
        <v>-37.009617</v>
      </c>
      <c r="G107" t="n">
        <v>0</v>
      </c>
      <c r="H107" t="n">
        <v>0</v>
      </c>
      <c r="I107" t="n">
        <v>0</v>
      </c>
      <c r="J107" t="n">
        <v>0</v>
      </c>
      <c r="K107" t="n">
        <v>18.549136</v>
      </c>
      <c r="L107" t="n">
        <v>0</v>
      </c>
      <c r="M107" t="n">
        <v>0</v>
      </c>
      <c r="N107" t="n">
        <v>0</v>
      </c>
      <c r="O107" t="n">
        <v>0.032158</v>
      </c>
      <c r="P107" t="n">
        <v>0</v>
      </c>
      <c r="Q107" t="n">
        <v>0</v>
      </c>
      <c r="R107" t="n">
        <v>0</v>
      </c>
      <c r="S107" t="n">
        <v>0.093644</v>
      </c>
      <c r="T107" t="n">
        <v>0.568593</v>
      </c>
      <c r="U107" t="n">
        <v>0.00013853</v>
      </c>
      <c r="V107" t="n">
        <v>0.014236</v>
      </c>
      <c r="W107" t="n">
        <v>-0.02648</v>
      </c>
      <c r="X107" t="n">
        <v>0</v>
      </c>
      <c r="Y107" t="n">
        <v>0</v>
      </c>
      <c r="Z107" t="n">
        <v>0</v>
      </c>
      <c r="AA107" t="n">
        <v>0</v>
      </c>
      <c r="AB107" t="n">
        <v>0.032158</v>
      </c>
      <c r="AC107" t="n">
        <v>0.09188</v>
      </c>
      <c r="AD107" t="n">
        <v>0</v>
      </c>
      <c r="AE107" t="n">
        <v>0</v>
      </c>
      <c r="AF107" t="n">
        <v>0.069283</v>
      </c>
      <c r="AG107" t="n">
        <v>0</v>
      </c>
      <c r="AH107" t="n">
        <v>0.024361</v>
      </c>
      <c r="AI107" t="n">
        <v>0</v>
      </c>
      <c r="AJ107" t="n">
        <v>20.803234</v>
      </c>
      <c r="AK107" t="n">
        <v>0</v>
      </c>
      <c r="AL107" t="n">
        <v>0</v>
      </c>
    </row>
    <row r="108">
      <c r="A108" t="s">
        <v>182</v>
      </c>
      <c r="B108" t="s">
        <v>137</v>
      </c>
      <c r="C108" t="n">
        <v>22.618645</v>
      </c>
      <c r="D108" t="n">
        <v>1.48952</v>
      </c>
      <c r="E108" t="n">
        <v>4.516646</v>
      </c>
      <c r="F108" t="n">
        <v>46.066599</v>
      </c>
      <c r="G108" t="n">
        <v>0</v>
      </c>
      <c r="H108" t="n">
        <v>0</v>
      </c>
      <c r="I108" t="n">
        <v>0</v>
      </c>
      <c r="J108" t="n">
        <v>4.017008</v>
      </c>
      <c r="K108" t="n">
        <v>30.740944</v>
      </c>
      <c r="L108" t="n">
        <v>0</v>
      </c>
      <c r="M108" t="n">
        <v>0.634855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0.134968</v>
      </c>
      <c r="T108" t="n">
        <v>2.602919</v>
      </c>
      <c r="U108" t="n">
        <v>0.00009693</v>
      </c>
      <c r="V108" t="n">
        <v>0</v>
      </c>
      <c r="W108" t="n">
        <v>-0.044775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0.093775</v>
      </c>
      <c r="AG108" t="n">
        <v>0</v>
      </c>
      <c r="AH108" t="n">
        <v>0.041193</v>
      </c>
      <c r="AI108" t="n">
        <v>0</v>
      </c>
      <c r="AJ108" t="n">
        <v>36.605491</v>
      </c>
      <c r="AK108" t="n">
        <v>0</v>
      </c>
      <c r="AL108" t="n">
        <v>0</v>
      </c>
    </row>
    <row r="109">
      <c r="A109" t="s">
        <v>182</v>
      </c>
      <c r="B109" t="s">
        <v>138</v>
      </c>
      <c r="C109" t="n">
        <v>103.96676</v>
      </c>
      <c r="D109" t="n">
        <v>1.325502</v>
      </c>
      <c r="E109" t="n">
        <v>13.729408</v>
      </c>
      <c r="F109" t="n">
        <v>-22.755164</v>
      </c>
      <c r="G109" t="n">
        <v>0</v>
      </c>
      <c r="H109" t="n">
        <v>0.000057</v>
      </c>
      <c r="I109" t="n">
        <v>0</v>
      </c>
      <c r="J109" t="n">
        <v>22.920756</v>
      </c>
      <c r="K109" t="n">
        <v>11.924937</v>
      </c>
      <c r="L109" t="n">
        <v>0</v>
      </c>
      <c r="M109" t="n">
        <v>9.588556</v>
      </c>
      <c r="N109" t="n">
        <v>28.632892</v>
      </c>
      <c r="O109" t="n">
        <v>0</v>
      </c>
      <c r="P109" t="n">
        <v>0</v>
      </c>
      <c r="Q109" t="n">
        <v>0</v>
      </c>
      <c r="R109" t="n">
        <v>0</v>
      </c>
      <c r="S109" t="n">
        <v>0.847146</v>
      </c>
      <c r="T109" t="n">
        <v>11.42574</v>
      </c>
      <c r="U109" t="n">
        <v>0.00010955</v>
      </c>
      <c r="V109" t="n">
        <v>0</v>
      </c>
      <c r="W109" t="n">
        <v>-0.599985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0.29516</v>
      </c>
      <c r="AG109" t="n">
        <v>0</v>
      </c>
      <c r="AH109" t="n">
        <v>0.551986</v>
      </c>
      <c r="AI109" t="n">
        <v>0</v>
      </c>
      <c r="AJ109" t="n">
        <v>11.526407</v>
      </c>
      <c r="AK109" t="n">
        <v>0</v>
      </c>
      <c r="AL109" t="n">
        <v>0</v>
      </c>
    </row>
    <row r="110">
      <c r="A110" t="s">
        <v>182</v>
      </c>
      <c r="B110" t="s">
        <v>139</v>
      </c>
      <c r="C110" t="n">
        <v>31.214543</v>
      </c>
      <c r="D110" t="n">
        <v>3.565681</v>
      </c>
      <c r="E110" t="n">
        <v>3.838505</v>
      </c>
      <c r="F110" t="n">
        <v>4.982688</v>
      </c>
      <c r="G110" t="n">
        <v>1.950883</v>
      </c>
      <c r="H110" t="n">
        <v>0.008597</v>
      </c>
      <c r="I110" t="n">
        <v>0</v>
      </c>
      <c r="J110" t="n">
        <v>26.728652</v>
      </c>
      <c r="K110" t="n">
        <v>6.71792</v>
      </c>
      <c r="L110" t="n">
        <v>0</v>
      </c>
      <c r="M110" t="n">
        <v>4.231507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0.381007</v>
      </c>
      <c r="T110" t="n">
        <v>2.636546</v>
      </c>
      <c r="U110" t="n">
        <v>0.00011367</v>
      </c>
      <c r="V110" t="n">
        <v>0</v>
      </c>
      <c r="W110" t="n">
        <v>-0.320269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0.08636</v>
      </c>
      <c r="AG110" t="n">
        <v>0</v>
      </c>
      <c r="AH110" t="n">
        <v>0.294647</v>
      </c>
      <c r="AI110" t="n">
        <v>0</v>
      </c>
      <c r="AJ110" t="n">
        <v>1.266572</v>
      </c>
      <c r="AK110" t="n">
        <v>0</v>
      </c>
      <c r="AL110" t="n">
        <v>0</v>
      </c>
    </row>
    <row r="111">
      <c r="A111" t="s">
        <v>182</v>
      </c>
      <c r="B111" t="s">
        <v>140</v>
      </c>
      <c r="C111" t="n">
        <v>534.165959</v>
      </c>
      <c r="D111" t="n">
        <v>46.992987</v>
      </c>
      <c r="E111" t="n">
        <v>201.936739</v>
      </c>
      <c r="F111" t="n">
        <v>63.649697</v>
      </c>
      <c r="G111" t="n">
        <v>0</v>
      </c>
      <c r="H111" t="n">
        <v>0.003979</v>
      </c>
      <c r="I111" t="n">
        <v>5.287901</v>
      </c>
      <c r="J111" t="n">
        <v>420.815881</v>
      </c>
      <c r="K111" t="n">
        <v>128.867681</v>
      </c>
      <c r="L111" t="n">
        <v>0</v>
      </c>
      <c r="M111" t="n">
        <v>60.077568</v>
      </c>
      <c r="N111" t="n">
        <v>62.646296</v>
      </c>
      <c r="O111" t="n">
        <v>15.469605</v>
      </c>
      <c r="P111" t="n">
        <v>0</v>
      </c>
      <c r="Q111" t="n">
        <v>0</v>
      </c>
      <c r="R111" t="n">
        <v>0</v>
      </c>
      <c r="S111" t="n">
        <v>116.482662</v>
      </c>
      <c r="T111" t="n">
        <v>68.363358</v>
      </c>
      <c r="U111" t="n">
        <v>0.00007912</v>
      </c>
      <c r="V111" t="n">
        <v>21.692483</v>
      </c>
      <c r="W111" t="n">
        <v>-29.405231</v>
      </c>
      <c r="X111" t="n">
        <v>-7.457274</v>
      </c>
      <c r="Y111" t="n">
        <v>5.592955</v>
      </c>
      <c r="Z111" t="n">
        <v>15.044873</v>
      </c>
      <c r="AA111" t="n">
        <v>28.649555952381</v>
      </c>
      <c r="AB111" t="n">
        <v>0.133016</v>
      </c>
      <c r="AC111" t="n">
        <v>0.380045714285714</v>
      </c>
      <c r="AD111" t="n">
        <v>0.291717</v>
      </c>
      <c r="AE111" t="n">
        <v>0.753318224932249</v>
      </c>
      <c r="AF111" t="n">
        <v>1.421403</v>
      </c>
      <c r="AG111" t="n">
        <v>0</v>
      </c>
      <c r="AH111" t="n">
        <v>27.052813</v>
      </c>
      <c r="AI111" t="n">
        <v>88.008446</v>
      </c>
      <c r="AJ111" t="n">
        <v>0</v>
      </c>
      <c r="AK111" t="n">
        <v>0</v>
      </c>
      <c r="AL111" t="n">
        <v>0</v>
      </c>
    </row>
    <row r="112">
      <c r="A112" t="s">
        <v>182</v>
      </c>
      <c r="B112" t="s">
        <v>141</v>
      </c>
      <c r="C112" t="n">
        <v>12.327529</v>
      </c>
      <c r="D112" t="n">
        <v>5.681873</v>
      </c>
      <c r="E112" t="n">
        <v>0</v>
      </c>
      <c r="F112" t="n">
        <v>2.971606</v>
      </c>
      <c r="G112" t="n">
        <v>0</v>
      </c>
      <c r="H112" t="n">
        <v>0</v>
      </c>
      <c r="I112" t="n">
        <v>0</v>
      </c>
      <c r="J112" t="n">
        <v>4.444924</v>
      </c>
      <c r="K112" t="n">
        <v>11.746441</v>
      </c>
      <c r="L112" t="n">
        <v>0</v>
      </c>
      <c r="M112" t="n">
        <v>1.959037</v>
      </c>
      <c r="N112" t="n">
        <v>0</v>
      </c>
      <c r="O112" t="n">
        <v>2.883153</v>
      </c>
      <c r="P112" t="n">
        <v>0</v>
      </c>
      <c r="Q112" t="n">
        <v>0.060225</v>
      </c>
      <c r="R112" t="n">
        <v>0.008757</v>
      </c>
      <c r="S112" t="n">
        <v>5.707474</v>
      </c>
      <c r="T112" t="n">
        <v>0.374774</v>
      </c>
      <c r="U112" t="n">
        <v>0.000037</v>
      </c>
      <c r="V112" t="n">
        <v>0.772522</v>
      </c>
      <c r="W112" t="n">
        <v>-6.203776</v>
      </c>
      <c r="X112" t="n">
        <v>0</v>
      </c>
      <c r="Y112" t="n">
        <v>0</v>
      </c>
      <c r="Z112" t="n">
        <v>2.882811</v>
      </c>
      <c r="AA112" t="n">
        <v>4.93951017241379</v>
      </c>
      <c r="AB112" t="n">
        <v>0.000343</v>
      </c>
      <c r="AC112" t="n">
        <v>0.00098</v>
      </c>
      <c r="AD112" t="n">
        <v>0</v>
      </c>
      <c r="AE112" t="n">
        <v>0</v>
      </c>
      <c r="AF112" t="n">
        <v>0</v>
      </c>
      <c r="AG112" t="n">
        <v>0</v>
      </c>
      <c r="AH112" t="n">
        <v>5.707474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s">
        <v>183</v>
      </c>
      <c r="B113" t="s">
        <v>105</v>
      </c>
      <c r="C113" t="n">
        <v>131.712636</v>
      </c>
      <c r="D113" t="n">
        <v>0.567235</v>
      </c>
      <c r="E113" t="n">
        <v>2.963366</v>
      </c>
      <c r="F113" t="n">
        <v>-12.921725</v>
      </c>
      <c r="G113" t="n">
        <v>-13.644687</v>
      </c>
      <c r="H113" t="n">
        <v>0.091442</v>
      </c>
      <c r="I113" t="n">
        <v>26.978019</v>
      </c>
      <c r="J113" t="n">
        <v>0</v>
      </c>
      <c r="K113" t="n">
        <v>43.808617</v>
      </c>
      <c r="L113" t="n">
        <v>0</v>
      </c>
      <c r="M113" t="n">
        <v>35.7189</v>
      </c>
      <c r="N113" t="n">
        <v>0</v>
      </c>
      <c r="O113" t="n">
        <v>12.056026</v>
      </c>
      <c r="P113" t="n">
        <v>0</v>
      </c>
      <c r="Q113" t="n">
        <v>0</v>
      </c>
      <c r="R113" t="n">
        <v>0</v>
      </c>
      <c r="S113" t="n">
        <v>2.964221</v>
      </c>
      <c r="T113" t="n">
        <v>4.385035</v>
      </c>
      <c r="U113" t="n">
        <v>0.00016474</v>
      </c>
      <c r="V113" t="n">
        <v>0</v>
      </c>
      <c r="W113" t="n">
        <v>-0.145391</v>
      </c>
      <c r="X113" t="n">
        <v>-0.557019</v>
      </c>
      <c r="Y113" t="n">
        <v>0.417764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0.081186</v>
      </c>
      <c r="AG113" t="n">
        <v>12.056026</v>
      </c>
      <c r="AH113" t="n">
        <v>0.13376</v>
      </c>
      <c r="AI113" t="n">
        <v>2.749276</v>
      </c>
      <c r="AJ113" t="n">
        <v>8.213089</v>
      </c>
      <c r="AK113" t="n">
        <v>10.815889</v>
      </c>
      <c r="AL113" t="n">
        <v>-8.780419</v>
      </c>
    </row>
    <row r="114">
      <c r="A114" t="s">
        <v>183</v>
      </c>
      <c r="B114" t="s">
        <v>106</v>
      </c>
      <c r="C114" t="n">
        <v>141.934298</v>
      </c>
      <c r="D114" t="n">
        <v>0.82763</v>
      </c>
      <c r="E114" t="n">
        <v>9.975523</v>
      </c>
      <c r="F114" t="n">
        <v>-31.404828</v>
      </c>
      <c r="G114" t="n">
        <v>0</v>
      </c>
      <c r="H114" t="n">
        <v>0.024394</v>
      </c>
      <c r="I114" t="n">
        <v>0.504509</v>
      </c>
      <c r="J114" t="n">
        <v>25.497276</v>
      </c>
      <c r="K114" t="n">
        <v>21.896684</v>
      </c>
      <c r="L114" t="n">
        <v>0</v>
      </c>
      <c r="M114" t="n">
        <v>27.927678</v>
      </c>
      <c r="N114" t="n">
        <v>0</v>
      </c>
      <c r="O114" t="n">
        <v>29.519782</v>
      </c>
      <c r="P114" t="n">
        <v>2.565192</v>
      </c>
      <c r="Q114" t="n">
        <v>0</v>
      </c>
      <c r="R114" t="n">
        <v>0.040253</v>
      </c>
      <c r="S114" t="n">
        <v>13.738445</v>
      </c>
      <c r="T114" t="n">
        <v>2.522381</v>
      </c>
      <c r="U114" t="n">
        <v>0.0001302</v>
      </c>
      <c r="V114" t="n">
        <v>7.626621</v>
      </c>
      <c r="W114" t="n">
        <v>-2.236559</v>
      </c>
      <c r="X114" t="n">
        <v>-2.669652</v>
      </c>
      <c r="Y114" t="n">
        <v>2.002239</v>
      </c>
      <c r="Z114" t="n">
        <v>16.393843</v>
      </c>
      <c r="AA114" t="n">
        <v>27.6291438505747</v>
      </c>
      <c r="AB114" t="n">
        <v>0.106608</v>
      </c>
      <c r="AC114" t="n">
        <v>0.253828571428571</v>
      </c>
      <c r="AD114" t="n">
        <v>0</v>
      </c>
      <c r="AE114" t="n">
        <v>0</v>
      </c>
      <c r="AF114" t="n">
        <v>5.139109</v>
      </c>
      <c r="AG114" t="n">
        <v>13.019331</v>
      </c>
      <c r="AH114" t="n">
        <v>2.057634</v>
      </c>
      <c r="AI114" t="n">
        <v>6.5417</v>
      </c>
      <c r="AJ114" t="n">
        <v>0</v>
      </c>
      <c r="AK114" t="n">
        <v>0</v>
      </c>
      <c r="AL114" t="n">
        <v>0</v>
      </c>
    </row>
    <row r="115">
      <c r="A115" t="s">
        <v>183</v>
      </c>
      <c r="B115" t="s">
        <v>107</v>
      </c>
      <c r="C115" t="n">
        <v>0</v>
      </c>
      <c r="D115" t="n">
        <v>0.418723</v>
      </c>
      <c r="E115" t="n">
        <v>0</v>
      </c>
      <c r="F115" t="n">
        <v>5.5328</v>
      </c>
      <c r="G115" t="n">
        <v>0</v>
      </c>
      <c r="H115" t="n">
        <v>0</v>
      </c>
      <c r="I115" t="n">
        <v>0</v>
      </c>
      <c r="J115" t="n">
        <v>5.951523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0.00010195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s">
        <v>183</v>
      </c>
      <c r="B116" t="s">
        <v>108</v>
      </c>
      <c r="C116" t="n">
        <v>71.900756</v>
      </c>
      <c r="D116" t="n">
        <v>0.557634</v>
      </c>
      <c r="E116" t="n">
        <v>0.194042</v>
      </c>
      <c r="F116" t="n">
        <v>-0.468299</v>
      </c>
      <c r="G116" t="n">
        <v>0</v>
      </c>
      <c r="H116" t="n">
        <v>0.002637</v>
      </c>
      <c r="I116" t="n">
        <v>16.429958</v>
      </c>
      <c r="J116" t="n">
        <v>0</v>
      </c>
      <c r="K116" t="n">
        <v>2.37781</v>
      </c>
      <c r="L116" t="n">
        <v>0</v>
      </c>
      <c r="M116" t="n">
        <v>29.666223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2.344904</v>
      </c>
      <c r="T116" t="n">
        <v>2.467623</v>
      </c>
      <c r="U116" t="n">
        <v>0.0001196</v>
      </c>
      <c r="V116" t="n">
        <v>0.821621</v>
      </c>
      <c r="W116" t="n">
        <v>-0.982026</v>
      </c>
      <c r="X116" t="n">
        <v>-3.261891</v>
      </c>
      <c r="Y116" t="n">
        <v>2.446419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0.903464</v>
      </c>
      <c r="AI116" t="n">
        <v>1.44144</v>
      </c>
      <c r="AJ116" t="n">
        <v>18.549895</v>
      </c>
      <c r="AK116" t="n">
        <v>7.823027</v>
      </c>
      <c r="AL116" t="n">
        <v>-5.680482</v>
      </c>
    </row>
    <row r="117">
      <c r="A117" t="s">
        <v>183</v>
      </c>
      <c r="B117" t="s">
        <v>109</v>
      </c>
      <c r="C117" t="n">
        <v>97.710363</v>
      </c>
      <c r="D117" t="n">
        <v>0.008994</v>
      </c>
      <c r="E117" t="n">
        <v>5.843318</v>
      </c>
      <c r="F117" t="n">
        <v>-27.9689</v>
      </c>
      <c r="G117" t="n">
        <v>0.570706</v>
      </c>
      <c r="H117" t="n">
        <v>0.194605</v>
      </c>
      <c r="I117" t="n">
        <v>1.21153</v>
      </c>
      <c r="J117" t="n">
        <v>0</v>
      </c>
      <c r="K117" t="n">
        <v>6.382384</v>
      </c>
      <c r="L117" t="n">
        <v>0</v>
      </c>
      <c r="M117" t="n">
        <v>14.602958</v>
      </c>
      <c r="N117" t="n">
        <v>36.261576</v>
      </c>
      <c r="O117" t="n">
        <v>9.510329</v>
      </c>
      <c r="P117" t="n">
        <v>0</v>
      </c>
      <c r="Q117" t="n">
        <v>0</v>
      </c>
      <c r="R117" t="n">
        <v>0</v>
      </c>
      <c r="S117" t="n">
        <v>5.055589</v>
      </c>
      <c r="T117" t="n">
        <v>2.493861</v>
      </c>
      <c r="U117" t="n">
        <v>0.00019295</v>
      </c>
      <c r="V117" t="n">
        <v>4.780951</v>
      </c>
      <c r="W117" t="n">
        <v>-1.168299</v>
      </c>
      <c r="X117" t="n">
        <v>-0.667079</v>
      </c>
      <c r="Y117" t="n">
        <v>0.50031</v>
      </c>
      <c r="Z117" t="n">
        <v>9.333648</v>
      </c>
      <c r="AA117" t="n">
        <v>16.0010642939245</v>
      </c>
      <c r="AB117" t="n">
        <v>0.088532</v>
      </c>
      <c r="AC117" t="n">
        <v>0.210790476190476</v>
      </c>
      <c r="AD117" t="n">
        <v>0</v>
      </c>
      <c r="AE117" t="n">
        <v>0</v>
      </c>
      <c r="AF117" t="n">
        <v>0</v>
      </c>
      <c r="AG117" t="n">
        <v>0</v>
      </c>
      <c r="AH117" t="n">
        <v>1.074835</v>
      </c>
      <c r="AI117" t="n">
        <v>3.980754</v>
      </c>
      <c r="AJ117" t="n">
        <v>0.814778</v>
      </c>
      <c r="AK117" t="n">
        <v>0.511536</v>
      </c>
      <c r="AL117" t="n">
        <v>-0.680969</v>
      </c>
    </row>
    <row r="118">
      <c r="A118" t="s">
        <v>183</v>
      </c>
      <c r="B118" t="s">
        <v>110</v>
      </c>
      <c r="C118" t="n">
        <v>946.80668</v>
      </c>
      <c r="D118" t="n">
        <v>42.616893</v>
      </c>
      <c r="E118" t="n">
        <v>252.230956</v>
      </c>
      <c r="F118" t="n">
        <v>15.472634</v>
      </c>
      <c r="G118" t="n">
        <v>0</v>
      </c>
      <c r="H118" t="n">
        <v>1.753546</v>
      </c>
      <c r="I118" t="n">
        <v>15.126062</v>
      </c>
      <c r="J118" t="n">
        <v>294.323086</v>
      </c>
      <c r="K118" t="n">
        <v>387.784859</v>
      </c>
      <c r="L118" t="n">
        <v>0</v>
      </c>
      <c r="M118" t="n">
        <v>322.195358</v>
      </c>
      <c r="N118" t="n">
        <v>0</v>
      </c>
      <c r="O118" t="n">
        <v>107.714087</v>
      </c>
      <c r="P118" t="n">
        <v>0</v>
      </c>
      <c r="Q118" t="n">
        <v>0</v>
      </c>
      <c r="R118" t="n">
        <v>0</v>
      </c>
      <c r="S118" t="n">
        <v>173.054155</v>
      </c>
      <c r="T118" t="n">
        <v>29.959799</v>
      </c>
      <c r="U118" t="n">
        <v>0.0001537</v>
      </c>
      <c r="V118" t="n">
        <v>5.045623</v>
      </c>
      <c r="W118" t="n">
        <v>-69.424582</v>
      </c>
      <c r="X118" t="n">
        <v>-20.247237</v>
      </c>
      <c r="Y118" t="n">
        <v>15.185427</v>
      </c>
      <c r="Z118" t="n">
        <v>15.275505</v>
      </c>
      <c r="AA118" t="n">
        <v>26.2488601498358</v>
      </c>
      <c r="AB118" t="n">
        <v>0.35396</v>
      </c>
      <c r="AC118" t="n">
        <v>0.842761904761905</v>
      </c>
      <c r="AD118" t="n">
        <v>0.163813</v>
      </c>
      <c r="AE118" t="n">
        <v>0.399543902439024</v>
      </c>
      <c r="AF118" t="n">
        <v>107.804513</v>
      </c>
      <c r="AG118" t="n">
        <v>91.920809</v>
      </c>
      <c r="AH118" t="n">
        <v>63.870616</v>
      </c>
      <c r="AI118" t="n">
        <v>1.379027</v>
      </c>
      <c r="AJ118" t="n">
        <v>0.641807</v>
      </c>
      <c r="AK118" t="n">
        <v>1.752164</v>
      </c>
      <c r="AL118" t="n">
        <v>-2.69137</v>
      </c>
    </row>
    <row r="119">
      <c r="A119" t="s">
        <v>183</v>
      </c>
      <c r="B119" t="s">
        <v>111</v>
      </c>
      <c r="C119" t="n">
        <v>0</v>
      </c>
      <c r="D119" t="n">
        <v>0.843939</v>
      </c>
      <c r="E119" t="n">
        <v>0</v>
      </c>
      <c r="F119" t="n">
        <v>1.471745</v>
      </c>
      <c r="G119" t="n">
        <v>0</v>
      </c>
      <c r="H119" t="n">
        <v>0</v>
      </c>
      <c r="I119" t="n">
        <v>0</v>
      </c>
      <c r="J119" t="n">
        <v>2.315684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0.00011933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s">
        <v>183</v>
      </c>
      <c r="B120" t="s">
        <v>112</v>
      </c>
      <c r="C120" t="n">
        <v>0</v>
      </c>
      <c r="D120" t="n">
        <v>2.685748</v>
      </c>
      <c r="E120" t="n">
        <v>0</v>
      </c>
      <c r="F120" t="n">
        <v>9.124004</v>
      </c>
      <c r="G120" t="n">
        <v>0</v>
      </c>
      <c r="H120" t="n">
        <v>0</v>
      </c>
      <c r="I120" t="n">
        <v>0</v>
      </c>
      <c r="J120" t="n">
        <v>11.809752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0.00014328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s">
        <v>183</v>
      </c>
      <c r="B121" t="s">
        <v>113</v>
      </c>
      <c r="C121" t="n">
        <v>20.626122</v>
      </c>
      <c r="D121" t="n">
        <v>1.869482</v>
      </c>
      <c r="E121" t="n">
        <v>7.346821</v>
      </c>
      <c r="F121" t="n">
        <v>-6.145591</v>
      </c>
      <c r="G121" t="n">
        <v>0</v>
      </c>
      <c r="H121" t="n">
        <v>0.05075</v>
      </c>
      <c r="I121" t="n">
        <v>0</v>
      </c>
      <c r="J121" t="n">
        <v>7.157267</v>
      </c>
      <c r="K121" t="n">
        <v>2.766005</v>
      </c>
      <c r="L121" t="n">
        <v>0</v>
      </c>
      <c r="M121" t="n">
        <v>7.846514</v>
      </c>
      <c r="N121" t="n">
        <v>0</v>
      </c>
      <c r="O121" t="n">
        <v>1.209066</v>
      </c>
      <c r="P121" t="n">
        <v>4.374407</v>
      </c>
      <c r="Q121" t="n">
        <v>0</v>
      </c>
      <c r="R121" t="n">
        <v>0.292826</v>
      </c>
      <c r="S121" t="n">
        <v>0</v>
      </c>
      <c r="T121" t="n">
        <v>0</v>
      </c>
      <c r="U121" t="n">
        <v>0.00014228</v>
      </c>
      <c r="V121" t="n">
        <v>0.728769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1.209066</v>
      </c>
      <c r="AC121" t="n">
        <v>3.18795714285714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s">
        <v>183</v>
      </c>
      <c r="B122" t="s">
        <v>114</v>
      </c>
      <c r="C122" t="n">
        <v>0</v>
      </c>
      <c r="D122" t="n">
        <v>3.297073</v>
      </c>
      <c r="E122" t="n">
        <v>0</v>
      </c>
      <c r="F122" t="n">
        <v>2.733053</v>
      </c>
      <c r="G122" t="n">
        <v>0</v>
      </c>
      <c r="H122" t="n">
        <v>0</v>
      </c>
      <c r="I122" t="n">
        <v>0</v>
      </c>
      <c r="J122" t="n">
        <v>6.030127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0.00011954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s">
        <v>183</v>
      </c>
      <c r="B123" t="s">
        <v>115</v>
      </c>
      <c r="C123" t="n">
        <v>0</v>
      </c>
      <c r="D123" t="n">
        <v>31.296109</v>
      </c>
      <c r="E123" t="n">
        <v>0</v>
      </c>
      <c r="F123" t="n">
        <v>19.925011</v>
      </c>
      <c r="G123" t="n">
        <v>0</v>
      </c>
      <c r="H123" t="n">
        <v>0</v>
      </c>
      <c r="I123" t="n">
        <v>0</v>
      </c>
      <c r="J123" t="n">
        <v>51.22112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0.00005952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s">
        <v>183</v>
      </c>
      <c r="B124" t="s">
        <v>116</v>
      </c>
      <c r="C124" t="n">
        <v>37.91651</v>
      </c>
      <c r="D124" t="n">
        <v>4.872718</v>
      </c>
      <c r="E124" t="n">
        <v>55.367707</v>
      </c>
      <c r="F124" t="n">
        <v>-10.251624</v>
      </c>
      <c r="G124" t="n">
        <v>0</v>
      </c>
      <c r="H124" t="n">
        <v>0.005629</v>
      </c>
      <c r="I124" t="n">
        <v>0</v>
      </c>
      <c r="J124" t="n">
        <v>50.861161</v>
      </c>
      <c r="K124" t="n">
        <v>13.597175</v>
      </c>
      <c r="L124" t="n">
        <v>0</v>
      </c>
      <c r="M124" t="n">
        <v>18.769116</v>
      </c>
      <c r="N124" t="n">
        <v>0</v>
      </c>
      <c r="O124" t="n">
        <v>2.414136</v>
      </c>
      <c r="P124" t="n">
        <v>2.226849</v>
      </c>
      <c r="Q124" t="n">
        <v>0</v>
      </c>
      <c r="R124" t="n">
        <v>0.051063</v>
      </c>
      <c r="S124" t="n">
        <v>0.421307</v>
      </c>
      <c r="T124" t="n">
        <v>0.016817</v>
      </c>
      <c r="U124" t="n">
        <v>0.0001338</v>
      </c>
      <c r="V124" t="n">
        <v>1.043086</v>
      </c>
      <c r="W124" t="n">
        <v>-0.457943</v>
      </c>
      <c r="X124" t="n">
        <v>0</v>
      </c>
      <c r="Y124" t="n">
        <v>0</v>
      </c>
      <c r="Z124" t="n">
        <v>0.05572</v>
      </c>
      <c r="AA124" t="n">
        <v>0.116083333333333</v>
      </c>
      <c r="AB124" t="n">
        <v>2.358416</v>
      </c>
      <c r="AC124" t="n">
        <v>6.64545714285714</v>
      </c>
      <c r="AD124" t="n">
        <v>0</v>
      </c>
      <c r="AE124" t="n">
        <v>0</v>
      </c>
      <c r="AF124" t="n">
        <v>0</v>
      </c>
      <c r="AG124" t="n">
        <v>0</v>
      </c>
      <c r="AH124" t="n">
        <v>0.421307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s">
        <v>183</v>
      </c>
      <c r="B125" t="s">
        <v>117</v>
      </c>
      <c r="C125" t="n">
        <v>298.944121</v>
      </c>
      <c r="D125" t="n">
        <v>247.533126</v>
      </c>
      <c r="E125" t="n">
        <v>73.608267</v>
      </c>
      <c r="F125" t="n">
        <v>44.440403</v>
      </c>
      <c r="G125" t="n">
        <v>-14.630453</v>
      </c>
      <c r="H125" t="n">
        <v>0</v>
      </c>
      <c r="I125" t="n">
        <v>6.798998</v>
      </c>
      <c r="J125" t="n">
        <v>11.441055</v>
      </c>
      <c r="K125" t="n">
        <v>289.971124</v>
      </c>
      <c r="L125" t="n">
        <v>18.976139</v>
      </c>
      <c r="M125" t="n">
        <v>309.229611</v>
      </c>
      <c r="N125" t="n">
        <v>0</v>
      </c>
      <c r="O125" t="n">
        <v>26.712607</v>
      </c>
      <c r="P125" t="n">
        <v>0</v>
      </c>
      <c r="Q125" t="n">
        <v>0</v>
      </c>
      <c r="R125" t="n">
        <v>0</v>
      </c>
      <c r="S125" t="n">
        <v>42.401056</v>
      </c>
      <c r="T125" t="n">
        <v>7.659094</v>
      </c>
      <c r="U125" t="n">
        <v>0.0000198</v>
      </c>
      <c r="V125" t="n">
        <v>8.966166</v>
      </c>
      <c r="W125" t="n">
        <v>-42.082283</v>
      </c>
      <c r="X125" t="n">
        <v>-25.63022</v>
      </c>
      <c r="Y125" t="n">
        <v>19.222665</v>
      </c>
      <c r="Z125" t="n">
        <v>26.712607</v>
      </c>
      <c r="AA125" t="n">
        <v>47.7010839285714</v>
      </c>
      <c r="AB125" t="n">
        <v>0</v>
      </c>
      <c r="AC125" t="n">
        <v>0</v>
      </c>
      <c r="AD125" t="n">
        <v>0</v>
      </c>
      <c r="AE125" t="n">
        <v>0</v>
      </c>
      <c r="AF125" t="n">
        <v>0.000703</v>
      </c>
      <c r="AG125" t="n">
        <v>0</v>
      </c>
      <c r="AH125" t="n">
        <v>38.715701</v>
      </c>
      <c r="AI125" t="n">
        <v>3.684652</v>
      </c>
      <c r="AJ125" t="n">
        <v>16.260254</v>
      </c>
      <c r="AK125" t="n">
        <v>3.242269</v>
      </c>
      <c r="AL125" t="n">
        <v>-5.045977</v>
      </c>
    </row>
    <row r="126">
      <c r="A126" t="s">
        <v>183</v>
      </c>
      <c r="B126" t="s">
        <v>118</v>
      </c>
      <c r="C126" t="n">
        <v>126.354368</v>
      </c>
      <c r="D126" t="n">
        <v>8.672732</v>
      </c>
      <c r="E126" t="n">
        <v>162.031864</v>
      </c>
      <c r="F126" t="n">
        <v>1.605047</v>
      </c>
      <c r="G126" t="n">
        <v>3.318146</v>
      </c>
      <c r="H126" t="n">
        <v>0</v>
      </c>
      <c r="I126" t="n">
        <v>0</v>
      </c>
      <c r="J126" t="n">
        <v>19.605417</v>
      </c>
      <c r="K126" t="n">
        <v>192.398619</v>
      </c>
      <c r="L126" t="n">
        <v>0</v>
      </c>
      <c r="M126" t="n">
        <v>19.986966</v>
      </c>
      <c r="N126" t="n">
        <v>25.121181</v>
      </c>
      <c r="O126" t="n">
        <v>2.374701</v>
      </c>
      <c r="P126" t="n">
        <v>4.773051</v>
      </c>
      <c r="Q126" t="n">
        <v>0</v>
      </c>
      <c r="R126" t="n">
        <v>0</v>
      </c>
      <c r="S126" t="n">
        <v>9.084178</v>
      </c>
      <c r="T126" t="n">
        <v>11.035377</v>
      </c>
      <c r="U126" t="n">
        <v>0.00011985</v>
      </c>
      <c r="V126" t="n">
        <v>0.938782</v>
      </c>
      <c r="W126" t="n">
        <v>-1.958398</v>
      </c>
      <c r="X126" t="n">
        <v>0</v>
      </c>
      <c r="Y126" t="n">
        <v>0</v>
      </c>
      <c r="Z126" t="n">
        <v>2.333193</v>
      </c>
      <c r="AA126" t="n">
        <v>4.72280535714286</v>
      </c>
      <c r="AB126" t="n">
        <v>0.041508</v>
      </c>
      <c r="AC126" t="n">
        <v>0.103687142857143</v>
      </c>
      <c r="AD126" t="n">
        <v>0</v>
      </c>
      <c r="AE126" t="n">
        <v>0</v>
      </c>
      <c r="AF126" t="n">
        <v>6.910233</v>
      </c>
      <c r="AG126" t="n">
        <v>0</v>
      </c>
      <c r="AH126" t="n">
        <v>1.801727</v>
      </c>
      <c r="AI126" t="n">
        <v>0.372219</v>
      </c>
      <c r="AJ126" t="n">
        <v>12.924772</v>
      </c>
      <c r="AK126" t="n">
        <v>0</v>
      </c>
      <c r="AL126" t="n">
        <v>0</v>
      </c>
    </row>
    <row r="127">
      <c r="A127" t="s">
        <v>183</v>
      </c>
      <c r="B127" t="s">
        <v>119</v>
      </c>
      <c r="C127" t="n">
        <v>614.149235</v>
      </c>
      <c r="D127" t="n">
        <v>1.288274</v>
      </c>
      <c r="E127" t="n">
        <v>119.556017</v>
      </c>
      <c r="F127" t="n">
        <v>-31.055683</v>
      </c>
      <c r="G127" t="n">
        <v>0</v>
      </c>
      <c r="H127" t="n">
        <v>0.05883</v>
      </c>
      <c r="I127" t="n">
        <v>39.677041</v>
      </c>
      <c r="J127" t="n">
        <v>97.019013</v>
      </c>
      <c r="K127" t="n">
        <v>101.861218</v>
      </c>
      <c r="L127" t="n">
        <v>0</v>
      </c>
      <c r="M127" t="n">
        <v>85.874738</v>
      </c>
      <c r="N127" t="n">
        <v>334.298575</v>
      </c>
      <c r="O127" t="n">
        <v>16.4075</v>
      </c>
      <c r="P127" t="n">
        <v>0</v>
      </c>
      <c r="Q127" t="n">
        <v>0</v>
      </c>
      <c r="R127" t="n">
        <v>0</v>
      </c>
      <c r="S127" t="n">
        <v>8.977602</v>
      </c>
      <c r="T127" t="n">
        <v>12.149015</v>
      </c>
      <c r="U127" t="n">
        <v>0.00010763</v>
      </c>
      <c r="V127" t="n">
        <v>3.915139</v>
      </c>
      <c r="W127" t="n">
        <v>-7.474902</v>
      </c>
      <c r="X127" t="n">
        <v>-5.360144</v>
      </c>
      <c r="Y127" t="n">
        <v>4.020108</v>
      </c>
      <c r="Z127" t="n">
        <v>10.97776</v>
      </c>
      <c r="AA127" t="n">
        <v>18.9879969827586</v>
      </c>
      <c r="AB127" t="n">
        <v>0</v>
      </c>
      <c r="AC127" t="n">
        <v>0</v>
      </c>
      <c r="AD127" t="n">
        <v>0</v>
      </c>
      <c r="AE127" t="n">
        <v>0</v>
      </c>
      <c r="AF127" t="n">
        <v>0.44097</v>
      </c>
      <c r="AG127" t="n">
        <v>5.429739</v>
      </c>
      <c r="AH127" t="n">
        <v>6.87691</v>
      </c>
      <c r="AI127" t="n">
        <v>1.659722</v>
      </c>
      <c r="AJ127" t="n">
        <v>18.081618</v>
      </c>
      <c r="AK127" t="n">
        <v>2.888034</v>
      </c>
      <c r="AL127" t="n">
        <v>-4.540341</v>
      </c>
    </row>
    <row r="128">
      <c r="A128" t="s">
        <v>183</v>
      </c>
      <c r="B128" t="s">
        <v>120</v>
      </c>
      <c r="C128" t="n">
        <v>68.088884</v>
      </c>
      <c r="D128" t="n">
        <v>19.762929</v>
      </c>
      <c r="E128" t="n">
        <v>19.099676</v>
      </c>
      <c r="F128" t="n">
        <v>6.619465</v>
      </c>
      <c r="G128" t="n">
        <v>0</v>
      </c>
      <c r="H128" t="n">
        <v>0</v>
      </c>
      <c r="I128" t="n">
        <v>0.830013</v>
      </c>
      <c r="J128" t="n">
        <v>55.860755</v>
      </c>
      <c r="K128" t="n">
        <v>33.22913</v>
      </c>
      <c r="L128" t="n">
        <v>0</v>
      </c>
      <c r="M128" t="n">
        <v>12.749187</v>
      </c>
      <c r="N128" t="n">
        <v>0</v>
      </c>
      <c r="O128" t="n">
        <v>10.408854</v>
      </c>
      <c r="P128" t="n">
        <v>0</v>
      </c>
      <c r="Q128" t="n">
        <v>0.330445</v>
      </c>
      <c r="R128" t="n">
        <v>0.004337</v>
      </c>
      <c r="S128" t="n">
        <v>19.432916</v>
      </c>
      <c r="T128" t="n">
        <v>0.922485</v>
      </c>
      <c r="U128" t="n">
        <v>0.00003875</v>
      </c>
      <c r="V128" t="n">
        <v>2.117942</v>
      </c>
      <c r="W128" t="n">
        <v>-19.782356</v>
      </c>
      <c r="X128" t="n">
        <v>-1.659246</v>
      </c>
      <c r="Y128" t="n">
        <v>1.244434</v>
      </c>
      <c r="Z128" t="n">
        <v>6.927233</v>
      </c>
      <c r="AA128" t="n">
        <v>12.5254848850575</v>
      </c>
      <c r="AB128" t="n">
        <v>0.00563</v>
      </c>
      <c r="AC128" t="n">
        <v>0.0134047619047619</v>
      </c>
      <c r="AD128" t="n">
        <v>0</v>
      </c>
      <c r="AE128" t="n">
        <v>0</v>
      </c>
      <c r="AF128" t="n">
        <v>1.233148</v>
      </c>
      <c r="AG128" t="n">
        <v>3.47599</v>
      </c>
      <c r="AH128" t="n">
        <v>18.199768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s">
        <v>183</v>
      </c>
      <c r="B129" t="s">
        <v>121</v>
      </c>
      <c r="C129" t="n">
        <v>7.378741</v>
      </c>
      <c r="D129" t="n">
        <v>2.886721</v>
      </c>
      <c r="E129" t="n">
        <v>1.13746</v>
      </c>
      <c r="F129" t="n">
        <v>12.323014</v>
      </c>
      <c r="G129" t="n">
        <v>0</v>
      </c>
      <c r="H129" t="n">
        <v>0</v>
      </c>
      <c r="I129" t="n">
        <v>0.228904</v>
      </c>
      <c r="J129" t="n">
        <v>4.483696</v>
      </c>
      <c r="K129" t="n">
        <v>3.957382</v>
      </c>
      <c r="L129" t="n">
        <v>0</v>
      </c>
      <c r="M129" t="n">
        <v>9.458328</v>
      </c>
      <c r="N129" t="n">
        <v>0</v>
      </c>
      <c r="O129" t="n">
        <v>3.828239</v>
      </c>
      <c r="P129" t="n">
        <v>0</v>
      </c>
      <c r="Q129" t="n">
        <v>0</v>
      </c>
      <c r="R129" t="n">
        <v>0</v>
      </c>
      <c r="S129" t="n">
        <v>4.13546</v>
      </c>
      <c r="T129" t="n">
        <v>0.93898</v>
      </c>
      <c r="U129" t="n">
        <v>0.00006142</v>
      </c>
      <c r="V129" t="n">
        <v>1.061361</v>
      </c>
      <c r="W129" t="n">
        <v>-4.337045</v>
      </c>
      <c r="X129" t="n">
        <v>0</v>
      </c>
      <c r="Y129" t="n">
        <v>0</v>
      </c>
      <c r="Z129" t="n">
        <v>3.828239</v>
      </c>
      <c r="AA129" t="n">
        <v>6.38039833333333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3.990082</v>
      </c>
      <c r="AI129" t="n">
        <v>0.145378</v>
      </c>
      <c r="AJ129" t="n">
        <v>1.031992</v>
      </c>
      <c r="AK129" t="n">
        <v>0</v>
      </c>
      <c r="AL129" t="n">
        <v>0</v>
      </c>
    </row>
    <row r="130">
      <c r="A130" t="s">
        <v>183</v>
      </c>
      <c r="B130" t="s">
        <v>122</v>
      </c>
      <c r="C130" t="n">
        <v>34.233589</v>
      </c>
      <c r="D130" t="n">
        <v>0.276777</v>
      </c>
      <c r="E130" t="n">
        <v>0.029916</v>
      </c>
      <c r="F130" t="n">
        <v>-5.368705</v>
      </c>
      <c r="G130" t="n">
        <v>0</v>
      </c>
      <c r="H130" t="n">
        <v>0</v>
      </c>
      <c r="I130" t="n">
        <v>0.809252</v>
      </c>
      <c r="J130" t="n">
        <v>4.554114</v>
      </c>
      <c r="K130" t="n">
        <v>1.453193</v>
      </c>
      <c r="L130" t="n">
        <v>0</v>
      </c>
      <c r="M130" t="n">
        <v>9.955687</v>
      </c>
      <c r="N130" t="n">
        <v>0</v>
      </c>
      <c r="O130" t="n">
        <v>0.937518</v>
      </c>
      <c r="P130" t="n">
        <v>0</v>
      </c>
      <c r="Q130" t="n">
        <v>0</v>
      </c>
      <c r="R130" t="n">
        <v>0</v>
      </c>
      <c r="S130" t="n">
        <v>6.935718</v>
      </c>
      <c r="T130" t="n">
        <v>6.865403</v>
      </c>
      <c r="U130" t="n">
        <v>0.00006454</v>
      </c>
      <c r="V130" t="n">
        <v>2.434814</v>
      </c>
      <c r="W130" t="n">
        <v>-2.906826</v>
      </c>
      <c r="X130" t="n">
        <v>0</v>
      </c>
      <c r="Y130" t="n">
        <v>0</v>
      </c>
      <c r="Z130" t="n">
        <v>0.934152</v>
      </c>
      <c r="AA130" t="n">
        <v>1.83578333333333</v>
      </c>
      <c r="AB130" t="n">
        <v>0.003367</v>
      </c>
      <c r="AC130" t="n">
        <v>0.00802857142857143</v>
      </c>
      <c r="AD130" t="n">
        <v>0</v>
      </c>
      <c r="AE130" t="n">
        <v>0</v>
      </c>
      <c r="AF130" t="n">
        <v>0</v>
      </c>
      <c r="AG130" t="n">
        <v>0</v>
      </c>
      <c r="AH130" t="n">
        <v>2.674279</v>
      </c>
      <c r="AI130" t="n">
        <v>4.261439</v>
      </c>
      <c r="AJ130" t="n">
        <v>0.567517</v>
      </c>
      <c r="AK130" t="n">
        <v>0</v>
      </c>
      <c r="AL130" t="n">
        <v>0</v>
      </c>
    </row>
    <row r="131">
      <c r="A131" t="s">
        <v>183</v>
      </c>
      <c r="B131" t="s">
        <v>123</v>
      </c>
      <c r="C131" t="n">
        <v>67.320972</v>
      </c>
      <c r="D131" t="n">
        <v>1.036338</v>
      </c>
      <c r="E131" t="n">
        <v>0.225344</v>
      </c>
      <c r="F131" t="n">
        <v>-12.575482</v>
      </c>
      <c r="G131" t="n">
        <v>-6.775526</v>
      </c>
      <c r="H131" t="n">
        <v>0</v>
      </c>
      <c r="I131" t="n">
        <v>2.298481</v>
      </c>
      <c r="J131" t="n">
        <v>3.851531</v>
      </c>
      <c r="K131" t="n">
        <v>12.285661</v>
      </c>
      <c r="L131" t="n">
        <v>0</v>
      </c>
      <c r="M131" t="n">
        <v>34.128431</v>
      </c>
      <c r="N131" t="n">
        <v>0</v>
      </c>
      <c r="O131" t="n">
        <v>5.743568</v>
      </c>
      <c r="P131" t="n">
        <v>0</v>
      </c>
      <c r="Q131" t="n">
        <v>0</v>
      </c>
      <c r="R131" t="n">
        <v>0</v>
      </c>
      <c r="S131" t="n">
        <v>9.700425</v>
      </c>
      <c r="T131" t="n">
        <v>2.83055</v>
      </c>
      <c r="U131" t="n">
        <v>0.00006289</v>
      </c>
      <c r="V131" t="n">
        <v>2.029782</v>
      </c>
      <c r="W131" t="n">
        <v>-9.504565</v>
      </c>
      <c r="X131" t="n">
        <v>-1.996508</v>
      </c>
      <c r="Y131" t="n">
        <v>1.497381</v>
      </c>
      <c r="Z131" t="n">
        <v>5.737166</v>
      </c>
      <c r="AA131" t="n">
        <v>9.85756735426929</v>
      </c>
      <c r="AB131" t="n">
        <v>0.006374</v>
      </c>
      <c r="AC131" t="n">
        <v>0.0151761904761905</v>
      </c>
      <c r="AD131" t="n">
        <v>0.000026</v>
      </c>
      <c r="AE131" t="n">
        <v>0.0000634146341463415</v>
      </c>
      <c r="AF131" t="n">
        <v>0</v>
      </c>
      <c r="AG131" t="n">
        <v>0</v>
      </c>
      <c r="AH131" t="n">
        <v>8.744199</v>
      </c>
      <c r="AI131" t="n">
        <v>0.956226</v>
      </c>
      <c r="AJ131" t="n">
        <v>1.700853</v>
      </c>
      <c r="AK131" t="n">
        <v>0.78186</v>
      </c>
      <c r="AL131" t="n">
        <v>-0.534895</v>
      </c>
    </row>
    <row r="132">
      <c r="A132" t="s">
        <v>183</v>
      </c>
      <c r="B132" t="s">
        <v>124</v>
      </c>
      <c r="C132" t="n">
        <v>214.844151</v>
      </c>
      <c r="D132" t="n">
        <v>0.113159</v>
      </c>
      <c r="E132" t="n">
        <v>0.016133</v>
      </c>
      <c r="F132" t="n">
        <v>-72.788819</v>
      </c>
      <c r="G132" t="n">
        <v>-4.680265</v>
      </c>
      <c r="H132" t="n">
        <v>0</v>
      </c>
      <c r="I132" t="n">
        <v>21.41099</v>
      </c>
      <c r="J132" t="n">
        <v>2.200377</v>
      </c>
      <c r="K132" t="n">
        <v>1.422267</v>
      </c>
      <c r="L132" t="n">
        <v>0</v>
      </c>
      <c r="M132" t="n">
        <v>42.119373</v>
      </c>
      <c r="N132" t="n">
        <v>0</v>
      </c>
      <c r="O132" t="n">
        <v>56.033361</v>
      </c>
      <c r="P132" t="n">
        <v>0</v>
      </c>
      <c r="Q132" t="n">
        <v>0</v>
      </c>
      <c r="R132" t="n">
        <v>0.000056</v>
      </c>
      <c r="S132" t="n">
        <v>7.221494</v>
      </c>
      <c r="T132" t="n">
        <v>8.304444</v>
      </c>
      <c r="U132" t="n">
        <v>0.00008138</v>
      </c>
      <c r="V132" t="n">
        <v>14.842341</v>
      </c>
      <c r="W132" t="n">
        <v>-6.558041</v>
      </c>
      <c r="X132" t="n">
        <v>-3.247146</v>
      </c>
      <c r="Y132" t="n">
        <v>2.435359</v>
      </c>
      <c r="Z132" t="n">
        <v>55.57526</v>
      </c>
      <c r="AA132" t="n">
        <v>94.6823737684729</v>
      </c>
      <c r="AB132" t="n">
        <v>0.145796</v>
      </c>
      <c r="AC132" t="n">
        <v>0.347133333333333</v>
      </c>
      <c r="AD132" t="n">
        <v>0.312303</v>
      </c>
      <c r="AE132" t="n">
        <v>0.762187872628726</v>
      </c>
      <c r="AF132" t="n">
        <v>0</v>
      </c>
      <c r="AG132" t="n">
        <v>0</v>
      </c>
      <c r="AH132" t="n">
        <v>6.033398</v>
      </c>
      <c r="AI132" t="n">
        <v>1.188096</v>
      </c>
      <c r="AJ132" t="n">
        <v>13.456463</v>
      </c>
      <c r="AK132" t="n">
        <v>3.684448</v>
      </c>
      <c r="AL132" t="n">
        <v>-1.618665</v>
      </c>
    </row>
    <row r="133">
      <c r="A133" t="s">
        <v>183</v>
      </c>
      <c r="B133" t="s">
        <v>125</v>
      </c>
      <c r="C133" t="n">
        <v>28.067442</v>
      </c>
      <c r="D133" t="n">
        <v>4.811289</v>
      </c>
      <c r="E133" t="n">
        <v>2.487122</v>
      </c>
      <c r="F133" t="n">
        <v>26.374966</v>
      </c>
      <c r="G133" t="n">
        <v>-9.758144</v>
      </c>
      <c r="H133" t="n">
        <v>0</v>
      </c>
      <c r="I133" t="n">
        <v>0</v>
      </c>
      <c r="J133" t="n">
        <v>16.35232</v>
      </c>
      <c r="K133" t="n">
        <v>17.604022</v>
      </c>
      <c r="L133" t="n">
        <v>0.567363</v>
      </c>
      <c r="M133" t="n">
        <v>27.982005</v>
      </c>
      <c r="N133" t="n">
        <v>0</v>
      </c>
      <c r="O133" t="n">
        <v>6.276828</v>
      </c>
      <c r="P133" t="n">
        <v>0</v>
      </c>
      <c r="Q133" t="n">
        <v>0</v>
      </c>
      <c r="R133" t="n">
        <v>0</v>
      </c>
      <c r="S133" t="n">
        <v>13.887099</v>
      </c>
      <c r="T133" t="n">
        <v>2.321148</v>
      </c>
      <c r="U133" t="n">
        <v>0.00006145</v>
      </c>
      <c r="V133" t="n">
        <v>1.620986</v>
      </c>
      <c r="W133" t="n">
        <v>-13.776938</v>
      </c>
      <c r="X133" t="n">
        <v>0</v>
      </c>
      <c r="Y133" t="n">
        <v>0</v>
      </c>
      <c r="Z133" t="n">
        <v>6.276248</v>
      </c>
      <c r="AA133" t="n">
        <v>10.4604133333333</v>
      </c>
      <c r="AB133" t="n">
        <v>0.000579</v>
      </c>
      <c r="AC133" t="n">
        <v>0.00137857142857143</v>
      </c>
      <c r="AD133" t="n">
        <v>0</v>
      </c>
      <c r="AE133" t="n">
        <v>0</v>
      </c>
      <c r="AF133" t="n">
        <v>0</v>
      </c>
      <c r="AG133" t="n">
        <v>0</v>
      </c>
      <c r="AH133" t="n">
        <v>12.674783</v>
      </c>
      <c r="AI133" t="n">
        <v>1.212316</v>
      </c>
      <c r="AJ133" t="n">
        <v>0.285116</v>
      </c>
      <c r="AK133" t="n">
        <v>0</v>
      </c>
      <c r="AL133" t="n">
        <v>0</v>
      </c>
    </row>
    <row r="134">
      <c r="A134" t="s">
        <v>183</v>
      </c>
      <c r="B134" t="s">
        <v>126</v>
      </c>
      <c r="C134" t="n">
        <v>13.086239</v>
      </c>
      <c r="D134" t="n">
        <v>3.098046</v>
      </c>
      <c r="E134" t="n">
        <v>1.732139</v>
      </c>
      <c r="F134" t="n">
        <v>9.099946</v>
      </c>
      <c r="G134" t="n">
        <v>0</v>
      </c>
      <c r="H134" t="n">
        <v>0</v>
      </c>
      <c r="I134" t="n">
        <v>0.103064</v>
      </c>
      <c r="J134" t="n">
        <v>7.886103</v>
      </c>
      <c r="K134" t="n">
        <v>3.558612</v>
      </c>
      <c r="L134" t="n">
        <v>0</v>
      </c>
      <c r="M134" t="n">
        <v>15.187467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6.170356</v>
      </c>
      <c r="T134" t="n">
        <v>0.517765</v>
      </c>
      <c r="U134" t="n">
        <v>0.00005839</v>
      </c>
      <c r="V134" t="n">
        <v>0.122097</v>
      </c>
      <c r="W134" t="n">
        <v>-6.493371</v>
      </c>
      <c r="X134" t="n">
        <v>-0.564717</v>
      </c>
      <c r="Y134" t="n">
        <v>0.423538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5.973901</v>
      </c>
      <c r="AI134" t="n">
        <v>0.196455</v>
      </c>
      <c r="AJ134" t="n">
        <v>0.227551</v>
      </c>
      <c r="AK134" t="n">
        <v>0</v>
      </c>
      <c r="AL134" t="n">
        <v>0</v>
      </c>
    </row>
    <row r="135">
      <c r="A135" t="s">
        <v>183</v>
      </c>
      <c r="B135" t="s">
        <v>127</v>
      </c>
      <c r="C135" t="n">
        <v>23.914092</v>
      </c>
      <c r="D135" t="n">
        <v>3.212531</v>
      </c>
      <c r="E135" t="n">
        <v>1.512614</v>
      </c>
      <c r="F135" t="n">
        <v>4.895377</v>
      </c>
      <c r="G135" t="n">
        <v>-8.626148</v>
      </c>
      <c r="H135" t="n">
        <v>0</v>
      </c>
      <c r="I135" t="n">
        <v>0.259555</v>
      </c>
      <c r="J135" t="n">
        <v>9.080834</v>
      </c>
      <c r="K135" t="n">
        <v>8.368204</v>
      </c>
      <c r="L135" t="n">
        <v>0.588923</v>
      </c>
      <c r="M135" t="n">
        <v>18.790373</v>
      </c>
      <c r="N135" t="n">
        <v>0</v>
      </c>
      <c r="O135" t="n">
        <v>2.908275</v>
      </c>
      <c r="P135" t="n">
        <v>0</v>
      </c>
      <c r="Q135" t="n">
        <v>0</v>
      </c>
      <c r="R135" t="n">
        <v>0</v>
      </c>
      <c r="S135" t="n">
        <v>12.068915</v>
      </c>
      <c r="T135" t="n">
        <v>0.483005</v>
      </c>
      <c r="U135" t="n">
        <v>0.0000612</v>
      </c>
      <c r="V135" t="n">
        <v>2.163812</v>
      </c>
      <c r="W135" t="n">
        <v>-10.089402</v>
      </c>
      <c r="X135" t="n">
        <v>-1.153159</v>
      </c>
      <c r="Y135" t="n">
        <v>0.864869</v>
      </c>
      <c r="Z135" t="n">
        <v>2.906939</v>
      </c>
      <c r="AA135" t="n">
        <v>4.96069129926108</v>
      </c>
      <c r="AB135" t="n">
        <v>0.001335</v>
      </c>
      <c r="AC135" t="n">
        <v>0.00317857142857143</v>
      </c>
      <c r="AD135" t="n">
        <v>0</v>
      </c>
      <c r="AE135" t="n">
        <v>0</v>
      </c>
      <c r="AF135" t="n">
        <v>0</v>
      </c>
      <c r="AG135" t="n">
        <v>0</v>
      </c>
      <c r="AH135" t="n">
        <v>9.28225</v>
      </c>
      <c r="AI135" t="n">
        <v>2.786665</v>
      </c>
      <c r="AJ135" t="n">
        <v>0.034495</v>
      </c>
      <c r="AK135" t="n">
        <v>0.071519</v>
      </c>
      <c r="AL135" t="n">
        <v>-0.115573</v>
      </c>
    </row>
    <row r="136">
      <c r="A136" t="s">
        <v>183</v>
      </c>
      <c r="B136" t="s">
        <v>128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0.00006164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s">
        <v>183</v>
      </c>
      <c r="B137" t="s">
        <v>129</v>
      </c>
      <c r="C137" t="n">
        <v>230.992422</v>
      </c>
      <c r="D137" t="n">
        <v>4.567204</v>
      </c>
      <c r="E137" t="n">
        <v>199.101731</v>
      </c>
      <c r="F137" t="n">
        <v>-49.54582</v>
      </c>
      <c r="G137" t="n">
        <v>0</v>
      </c>
      <c r="H137" t="n">
        <v>0.027396</v>
      </c>
      <c r="I137" t="n">
        <v>0.106773</v>
      </c>
      <c r="J137" t="n">
        <v>218.1391</v>
      </c>
      <c r="K137" t="n">
        <v>28.321587</v>
      </c>
      <c r="L137" t="n">
        <v>0</v>
      </c>
      <c r="M137" t="n">
        <v>84.690326</v>
      </c>
      <c r="N137" t="n">
        <v>0</v>
      </c>
      <c r="O137" t="n">
        <v>45.639147</v>
      </c>
      <c r="P137" t="n">
        <v>0</v>
      </c>
      <c r="Q137" t="n">
        <v>0</v>
      </c>
      <c r="R137" t="n">
        <v>0</v>
      </c>
      <c r="S137" t="n">
        <v>32.38215</v>
      </c>
      <c r="T137" t="n">
        <v>0.729727</v>
      </c>
      <c r="U137" t="n">
        <v>0.00013569</v>
      </c>
      <c r="V137" t="n">
        <v>6.725441</v>
      </c>
      <c r="W137" t="n">
        <v>-24.920669</v>
      </c>
      <c r="X137" t="n">
        <v>0</v>
      </c>
      <c r="Y137" t="n">
        <v>0</v>
      </c>
      <c r="Z137" t="n">
        <v>7.531896</v>
      </c>
      <c r="AA137" t="n">
        <v>13.2786091235632</v>
      </c>
      <c r="AB137" t="n">
        <v>0.923806</v>
      </c>
      <c r="AC137" t="n">
        <v>2.36533523809524</v>
      </c>
      <c r="AD137" t="n">
        <v>0</v>
      </c>
      <c r="AE137" t="n">
        <v>0</v>
      </c>
      <c r="AF137" t="n">
        <v>1.070119</v>
      </c>
      <c r="AG137" t="n">
        <v>37.183444</v>
      </c>
      <c r="AH137" t="n">
        <v>22.927015</v>
      </c>
      <c r="AI137" t="n">
        <v>8.385016</v>
      </c>
      <c r="AJ137" t="n">
        <v>0</v>
      </c>
      <c r="AK137" t="n">
        <v>0</v>
      </c>
      <c r="AL137" t="n">
        <v>0</v>
      </c>
    </row>
    <row r="138">
      <c r="A138" t="s">
        <v>183</v>
      </c>
      <c r="B138" t="s">
        <v>130</v>
      </c>
      <c r="C138" t="n">
        <v>0</v>
      </c>
      <c r="D138" t="n">
        <v>1.090629</v>
      </c>
      <c r="E138" t="n">
        <v>0</v>
      </c>
      <c r="F138" t="n">
        <v>7.819425</v>
      </c>
      <c r="G138" t="n">
        <v>0</v>
      </c>
      <c r="H138" t="n">
        <v>0</v>
      </c>
      <c r="I138" t="n">
        <v>0</v>
      </c>
      <c r="J138" t="n">
        <v>8.910054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0.00009966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s">
        <v>183</v>
      </c>
      <c r="B139" t="s">
        <v>131</v>
      </c>
      <c r="C139" t="n">
        <v>30.675019</v>
      </c>
      <c r="D139" t="n">
        <v>2.178914</v>
      </c>
      <c r="E139" t="n">
        <v>0</v>
      </c>
      <c r="F139" t="n">
        <v>4.079294</v>
      </c>
      <c r="G139" t="n">
        <v>0</v>
      </c>
      <c r="H139" t="n">
        <v>0</v>
      </c>
      <c r="I139" t="n">
        <v>5.69628</v>
      </c>
      <c r="J139" t="n">
        <v>8.957796</v>
      </c>
      <c r="K139" t="n">
        <v>5.830402</v>
      </c>
      <c r="L139" t="n">
        <v>0</v>
      </c>
      <c r="M139" t="n">
        <v>2.22879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0.241823</v>
      </c>
      <c r="T139" t="n">
        <v>0</v>
      </c>
      <c r="U139" t="n">
        <v>0.00004372</v>
      </c>
      <c r="V139" t="n">
        <v>0.09959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0.067103</v>
      </c>
      <c r="AG139" t="n">
        <v>0</v>
      </c>
      <c r="AH139" t="n">
        <v>0</v>
      </c>
      <c r="AI139" t="n">
        <v>0.17472</v>
      </c>
      <c r="AJ139" t="n">
        <v>13.749162</v>
      </c>
      <c r="AK139" t="n">
        <v>0.243989</v>
      </c>
      <c r="AL139" t="n">
        <v>-0.015017</v>
      </c>
    </row>
    <row r="140">
      <c r="A140" t="s">
        <v>183</v>
      </c>
      <c r="B140" t="s">
        <v>132</v>
      </c>
      <c r="C140" t="n">
        <v>28.24156</v>
      </c>
      <c r="D140" t="n">
        <v>0.298497</v>
      </c>
      <c r="E140" t="n">
        <v>0</v>
      </c>
      <c r="F140" t="n">
        <v>4.771778</v>
      </c>
      <c r="G140" t="n">
        <v>0</v>
      </c>
      <c r="H140" t="n">
        <v>0.000406</v>
      </c>
      <c r="I140" t="n">
        <v>2.94181</v>
      </c>
      <c r="J140" t="n">
        <v>2.047316</v>
      </c>
      <c r="K140" t="n">
        <v>6.556628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1.760328</v>
      </c>
      <c r="T140" t="n">
        <v>0</v>
      </c>
      <c r="U140" t="n">
        <v>0.00005881</v>
      </c>
      <c r="V140" t="n">
        <v>0.971006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0.056808</v>
      </c>
      <c r="AG140" t="n">
        <v>0</v>
      </c>
      <c r="AH140" t="n">
        <v>0</v>
      </c>
      <c r="AI140" t="n">
        <v>1.70352</v>
      </c>
      <c r="AJ140" t="n">
        <v>20.005861</v>
      </c>
      <c r="AK140" t="n">
        <v>0.000006</v>
      </c>
      <c r="AL140" t="n">
        <v>-0.000075</v>
      </c>
    </row>
    <row r="141">
      <c r="A141" t="s">
        <v>183</v>
      </c>
      <c r="B141" t="s">
        <v>133</v>
      </c>
      <c r="C141" t="n">
        <v>119.713194</v>
      </c>
      <c r="D141" t="n">
        <v>6.516008</v>
      </c>
      <c r="E141" t="n">
        <v>0</v>
      </c>
      <c r="F141" t="n">
        <v>31.964265</v>
      </c>
      <c r="G141" t="n">
        <v>0</v>
      </c>
      <c r="H141" t="n">
        <v>0.026716</v>
      </c>
      <c r="I141" t="n">
        <v>22.586122</v>
      </c>
      <c r="J141" t="n">
        <v>35.850288</v>
      </c>
      <c r="K141" t="n">
        <v>8.094072</v>
      </c>
      <c r="L141" t="n">
        <v>0</v>
      </c>
      <c r="M141" t="n">
        <v>7.282023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0.775801</v>
      </c>
      <c r="T141" t="n">
        <v>0</v>
      </c>
      <c r="U141" t="n">
        <v>0.0000582</v>
      </c>
      <c r="V141" t="n">
        <v>0.248976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0.339002</v>
      </c>
      <c r="AG141" t="n">
        <v>0</v>
      </c>
      <c r="AH141" t="n">
        <v>0</v>
      </c>
      <c r="AI141" t="n">
        <v>0.4368</v>
      </c>
      <c r="AJ141" t="n">
        <v>81.472002</v>
      </c>
      <c r="AK141" t="n">
        <v>2.281734</v>
      </c>
      <c r="AL141" t="n">
        <v>-0.175395</v>
      </c>
    </row>
    <row r="142">
      <c r="A142" t="s">
        <v>183</v>
      </c>
      <c r="B142" t="s">
        <v>134</v>
      </c>
      <c r="C142" t="n">
        <v>223.307986</v>
      </c>
      <c r="D142" t="n">
        <v>0.518489</v>
      </c>
      <c r="E142" t="n">
        <v>19.316737</v>
      </c>
      <c r="F142" t="n">
        <v>-9.488701</v>
      </c>
      <c r="G142" t="n">
        <v>4.613162</v>
      </c>
      <c r="H142" t="n">
        <v>0.179062</v>
      </c>
      <c r="I142" t="n">
        <v>0.962673</v>
      </c>
      <c r="J142" t="n">
        <v>46.259064</v>
      </c>
      <c r="K142" t="n">
        <v>42.509348</v>
      </c>
      <c r="L142" t="n">
        <v>0</v>
      </c>
      <c r="M142" t="n">
        <v>27.335336</v>
      </c>
      <c r="N142" t="n">
        <v>29.582453</v>
      </c>
      <c r="O142" t="n">
        <v>39.993609</v>
      </c>
      <c r="P142" t="n">
        <v>4.273211</v>
      </c>
      <c r="Q142" t="n">
        <v>0.304698</v>
      </c>
      <c r="R142" t="n">
        <v>0</v>
      </c>
      <c r="S142" t="n">
        <v>28.906323</v>
      </c>
      <c r="T142" t="n">
        <v>8.737296</v>
      </c>
      <c r="U142" t="n">
        <v>0.00016544</v>
      </c>
      <c r="V142" t="n">
        <v>31.923454</v>
      </c>
      <c r="W142" t="n">
        <v>0</v>
      </c>
      <c r="X142" t="n">
        <v>-2.264344</v>
      </c>
      <c r="Y142" t="n">
        <v>1.698258</v>
      </c>
      <c r="Z142" t="n">
        <v>35.041367</v>
      </c>
      <c r="AA142" t="n">
        <v>58.4022783333333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4.952242</v>
      </c>
      <c r="AH142" t="n">
        <v>0</v>
      </c>
      <c r="AI142" t="n">
        <v>28.906322</v>
      </c>
      <c r="AJ142" t="n">
        <v>0.592145</v>
      </c>
      <c r="AK142" t="n">
        <v>0.096981</v>
      </c>
      <c r="AL142" t="n">
        <v>-0.12473</v>
      </c>
    </row>
    <row r="143">
      <c r="A143" t="s">
        <v>183</v>
      </c>
      <c r="B143" t="s">
        <v>135</v>
      </c>
      <c r="C143" t="n">
        <v>59.794947</v>
      </c>
      <c r="D143" t="n">
        <v>45.473435</v>
      </c>
      <c r="E143" t="n">
        <v>24.955473</v>
      </c>
      <c r="F143" t="n">
        <v>2.327775</v>
      </c>
      <c r="G143" t="n">
        <v>0</v>
      </c>
      <c r="H143" t="n">
        <v>0</v>
      </c>
      <c r="I143" t="n">
        <v>1.123657</v>
      </c>
      <c r="J143" t="n">
        <v>38.191677</v>
      </c>
      <c r="K143" t="n">
        <v>32.815526</v>
      </c>
      <c r="L143" t="n">
        <v>0.814881</v>
      </c>
      <c r="M143" t="n">
        <v>47.07472</v>
      </c>
      <c r="N143" t="n">
        <v>0</v>
      </c>
      <c r="O143" t="n">
        <v>0.413989</v>
      </c>
      <c r="P143" t="n">
        <v>0</v>
      </c>
      <c r="Q143" t="n">
        <v>0</v>
      </c>
      <c r="R143" t="n">
        <v>0</v>
      </c>
      <c r="S143" t="n">
        <v>1.589203</v>
      </c>
      <c r="T143" t="n">
        <v>5.488436</v>
      </c>
      <c r="U143" t="n">
        <v>0.00001931</v>
      </c>
      <c r="V143" t="n">
        <v>1.042322</v>
      </c>
      <c r="W143" t="n">
        <v>0</v>
      </c>
      <c r="X143" t="n">
        <v>0</v>
      </c>
      <c r="Y143" t="n">
        <v>0</v>
      </c>
      <c r="Z143" t="n">
        <v>0.413989</v>
      </c>
      <c r="AA143" t="n">
        <v>0.713774137931035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1.589203</v>
      </c>
      <c r="AJ143" t="n">
        <v>6.947077</v>
      </c>
      <c r="AK143" t="n">
        <v>5.340868</v>
      </c>
      <c r="AL143" t="n">
        <v>-7.248458</v>
      </c>
    </row>
    <row r="144">
      <c r="A144" t="s">
        <v>183</v>
      </c>
      <c r="B144" t="s">
        <v>136</v>
      </c>
      <c r="C144" t="n">
        <v>14.095062</v>
      </c>
      <c r="D144" t="n">
        <v>0</v>
      </c>
      <c r="E144" t="n">
        <v>63.378662</v>
      </c>
      <c r="F144" t="n">
        <v>-37.450218</v>
      </c>
      <c r="G144" t="n">
        <v>0</v>
      </c>
      <c r="H144" t="n">
        <v>0</v>
      </c>
      <c r="I144" t="n">
        <v>0</v>
      </c>
      <c r="J144" t="n">
        <v>0</v>
      </c>
      <c r="K144" t="n">
        <v>18.549136</v>
      </c>
      <c r="L144" t="n">
        <v>0</v>
      </c>
      <c r="M144" t="n">
        <v>0</v>
      </c>
      <c r="N144" t="n">
        <v>0</v>
      </c>
      <c r="O144" t="n">
        <v>0.033702</v>
      </c>
      <c r="P144" t="n">
        <v>0</v>
      </c>
      <c r="Q144" t="n">
        <v>0</v>
      </c>
      <c r="R144" t="n">
        <v>0</v>
      </c>
      <c r="S144" t="n">
        <v>0.090501</v>
      </c>
      <c r="T144" t="n">
        <v>0.568593</v>
      </c>
      <c r="U144" t="n">
        <v>0.00014899</v>
      </c>
      <c r="V144" t="n">
        <v>0.01492</v>
      </c>
      <c r="W144" t="n">
        <v>-0.02166</v>
      </c>
      <c r="X144" t="n">
        <v>0</v>
      </c>
      <c r="Y144" t="n">
        <v>0</v>
      </c>
      <c r="Z144" t="n">
        <v>0</v>
      </c>
      <c r="AA144" t="n">
        <v>0</v>
      </c>
      <c r="AB144" t="n">
        <v>0.033702</v>
      </c>
      <c r="AC144" t="n">
        <v>0.0962914285714286</v>
      </c>
      <c r="AD144" t="n">
        <v>0</v>
      </c>
      <c r="AE144" t="n">
        <v>0</v>
      </c>
      <c r="AF144" t="n">
        <v>0.070574</v>
      </c>
      <c r="AG144" t="n">
        <v>0</v>
      </c>
      <c r="AH144" t="n">
        <v>0.019927</v>
      </c>
      <c r="AI144" t="n">
        <v>0</v>
      </c>
      <c r="AJ144" t="n">
        <v>20.803234</v>
      </c>
      <c r="AK144" t="n">
        <v>0</v>
      </c>
      <c r="AL144" t="n">
        <v>0</v>
      </c>
    </row>
    <row r="145">
      <c r="A145" t="s">
        <v>183</v>
      </c>
      <c r="B145" t="s">
        <v>137</v>
      </c>
      <c r="C145" t="n">
        <v>22.618645</v>
      </c>
      <c r="D145" t="n">
        <v>1.49078</v>
      </c>
      <c r="E145" t="n">
        <v>4.532656</v>
      </c>
      <c r="F145" t="n">
        <v>46.04974</v>
      </c>
      <c r="G145" t="n">
        <v>0</v>
      </c>
      <c r="H145" t="n">
        <v>0</v>
      </c>
      <c r="I145" t="n">
        <v>0</v>
      </c>
      <c r="J145" t="n">
        <v>4.017008</v>
      </c>
      <c r="K145" t="n">
        <v>30.740944</v>
      </c>
      <c r="L145" t="n">
        <v>0</v>
      </c>
      <c r="M145" t="n">
        <v>0.634855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0.136595</v>
      </c>
      <c r="T145" t="n">
        <v>2.602919</v>
      </c>
      <c r="U145" t="n">
        <v>0.00010069</v>
      </c>
      <c r="V145" t="n">
        <v>0</v>
      </c>
      <c r="W145" t="n">
        <v>-0.044763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0.095413</v>
      </c>
      <c r="AG145" t="n">
        <v>0</v>
      </c>
      <c r="AH145" t="n">
        <v>0.041182</v>
      </c>
      <c r="AI145" t="n">
        <v>0</v>
      </c>
      <c r="AJ145" t="n">
        <v>36.604264</v>
      </c>
      <c r="AK145" t="n">
        <v>0</v>
      </c>
      <c r="AL145" t="n">
        <v>0</v>
      </c>
    </row>
    <row r="146">
      <c r="A146" t="s">
        <v>183</v>
      </c>
      <c r="B146" t="s">
        <v>138</v>
      </c>
      <c r="C146" t="n">
        <v>103.96676</v>
      </c>
      <c r="D146" t="n">
        <v>1.322045</v>
      </c>
      <c r="E146" t="n">
        <v>13.87334</v>
      </c>
      <c r="F146" t="n">
        <v>-22.881602</v>
      </c>
      <c r="G146" t="n">
        <v>0</v>
      </c>
      <c r="H146" t="n">
        <v>0.000057</v>
      </c>
      <c r="I146" t="n">
        <v>0</v>
      </c>
      <c r="J146" t="n">
        <v>22.920756</v>
      </c>
      <c r="K146" t="n">
        <v>11.924937</v>
      </c>
      <c r="L146" t="n">
        <v>0</v>
      </c>
      <c r="M146" t="n">
        <v>9.588556</v>
      </c>
      <c r="N146" t="n">
        <v>28.640876</v>
      </c>
      <c r="O146" t="n">
        <v>0</v>
      </c>
      <c r="P146" t="n">
        <v>0</v>
      </c>
      <c r="Q146" t="n">
        <v>0</v>
      </c>
      <c r="R146" t="n">
        <v>0</v>
      </c>
      <c r="S146" t="n">
        <v>0.852909</v>
      </c>
      <c r="T146" t="n">
        <v>11.42574</v>
      </c>
      <c r="U146" t="n">
        <v>0.00011331</v>
      </c>
      <c r="V146" t="n">
        <v>0</v>
      </c>
      <c r="W146" t="n">
        <v>-0.599834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0.301062</v>
      </c>
      <c r="AG146" t="n">
        <v>0</v>
      </c>
      <c r="AH146" t="n">
        <v>0.551848</v>
      </c>
      <c r="AI146" t="n">
        <v>0</v>
      </c>
      <c r="AJ146" t="n">
        <v>11.526546</v>
      </c>
      <c r="AK146" t="n">
        <v>0</v>
      </c>
      <c r="AL146" t="n">
        <v>0</v>
      </c>
    </row>
    <row r="147">
      <c r="A147" t="s">
        <v>183</v>
      </c>
      <c r="B147" t="s">
        <v>139</v>
      </c>
      <c r="C147" t="n">
        <v>31.214543</v>
      </c>
      <c r="D147" t="n">
        <v>3.565209</v>
      </c>
      <c r="E147" t="n">
        <v>3.933421</v>
      </c>
      <c r="F147" t="n">
        <v>4.890137</v>
      </c>
      <c r="G147" t="n">
        <v>1.950883</v>
      </c>
      <c r="H147" t="n">
        <v>0.008588</v>
      </c>
      <c r="I147" t="n">
        <v>0</v>
      </c>
      <c r="J147" t="n">
        <v>26.728652</v>
      </c>
      <c r="K147" t="n">
        <v>6.71792</v>
      </c>
      <c r="L147" t="n">
        <v>0</v>
      </c>
      <c r="M147" t="n">
        <v>4.231507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0.383733</v>
      </c>
      <c r="T147" t="n">
        <v>2.636546</v>
      </c>
      <c r="U147" t="n">
        <v>0.00011715</v>
      </c>
      <c r="V147" t="n">
        <v>0</v>
      </c>
      <c r="W147" t="n">
        <v>-0.321164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0.088263</v>
      </c>
      <c r="AG147" t="n">
        <v>0</v>
      </c>
      <c r="AH147" t="n">
        <v>0.295471</v>
      </c>
      <c r="AI147" t="n">
        <v>0</v>
      </c>
      <c r="AJ147" t="n">
        <v>1.266643</v>
      </c>
      <c r="AK147" t="n">
        <v>0</v>
      </c>
      <c r="AL147" t="n">
        <v>0</v>
      </c>
    </row>
    <row r="148">
      <c r="A148" t="s">
        <v>183</v>
      </c>
      <c r="B148" t="s">
        <v>140</v>
      </c>
      <c r="C148" t="n">
        <v>534.165959</v>
      </c>
      <c r="D148" t="n">
        <v>46.991407</v>
      </c>
      <c r="E148" t="n">
        <v>207.686381</v>
      </c>
      <c r="F148" t="n">
        <v>65.628106</v>
      </c>
      <c r="G148" t="n">
        <v>0</v>
      </c>
      <c r="H148" t="n">
        <v>0.003979</v>
      </c>
      <c r="I148" t="n">
        <v>5.287901</v>
      </c>
      <c r="J148" t="n">
        <v>420.815881</v>
      </c>
      <c r="K148" t="n">
        <v>128.867681</v>
      </c>
      <c r="L148" t="n">
        <v>0</v>
      </c>
      <c r="M148" t="n">
        <v>60.077568</v>
      </c>
      <c r="N148" t="n">
        <v>62.665032</v>
      </c>
      <c r="O148" t="n">
        <v>16.390727</v>
      </c>
      <c r="P148" t="n">
        <v>0</v>
      </c>
      <c r="Q148" t="n">
        <v>0</v>
      </c>
      <c r="R148" t="n">
        <v>0</v>
      </c>
      <c r="S148" t="n">
        <v>123.417149</v>
      </c>
      <c r="T148" t="n">
        <v>68.363358</v>
      </c>
      <c r="U148" t="n">
        <v>0.00008151</v>
      </c>
      <c r="V148" t="n">
        <v>24.549215</v>
      </c>
      <c r="W148" t="n">
        <v>-29.527365</v>
      </c>
      <c r="X148" t="n">
        <v>-7.560236</v>
      </c>
      <c r="Y148" t="n">
        <v>5.670177</v>
      </c>
      <c r="Z148" t="n">
        <v>15.924838</v>
      </c>
      <c r="AA148" t="n">
        <v>30.2673096288515</v>
      </c>
      <c r="AB148" t="n">
        <v>0.143465</v>
      </c>
      <c r="AC148" t="n">
        <v>0.4099</v>
      </c>
      <c r="AD148" t="n">
        <v>0.322424</v>
      </c>
      <c r="AE148" t="n">
        <v>0.831265853658537</v>
      </c>
      <c r="AF148" t="n">
        <v>1.417696</v>
      </c>
      <c r="AG148" t="n">
        <v>0</v>
      </c>
      <c r="AH148" t="n">
        <v>27.165176</v>
      </c>
      <c r="AI148" t="n">
        <v>94.834276</v>
      </c>
      <c r="AJ148" t="n">
        <v>0</v>
      </c>
      <c r="AK148" t="n">
        <v>0</v>
      </c>
      <c r="AL148" t="n">
        <v>0</v>
      </c>
    </row>
    <row r="149">
      <c r="A149" t="s">
        <v>183</v>
      </c>
      <c r="B149" t="s">
        <v>141</v>
      </c>
      <c r="C149" t="n">
        <v>12.327529</v>
      </c>
      <c r="D149" t="n">
        <v>5.675491</v>
      </c>
      <c r="E149" t="n">
        <v>0</v>
      </c>
      <c r="F149" t="n">
        <v>3.168011</v>
      </c>
      <c r="G149" t="n">
        <v>0</v>
      </c>
      <c r="H149" t="n">
        <v>0</v>
      </c>
      <c r="I149" t="n">
        <v>0</v>
      </c>
      <c r="J149" t="n">
        <v>4.444924</v>
      </c>
      <c r="K149" t="n">
        <v>11.746441</v>
      </c>
      <c r="L149" t="n">
        <v>0</v>
      </c>
      <c r="M149" t="n">
        <v>1.959037</v>
      </c>
      <c r="N149" t="n">
        <v>0</v>
      </c>
      <c r="O149" t="n">
        <v>3.072925</v>
      </c>
      <c r="P149" t="n">
        <v>0</v>
      </c>
      <c r="Q149" t="n">
        <v>0.060229</v>
      </c>
      <c r="R149" t="n">
        <v>0.008757</v>
      </c>
      <c r="S149" t="n">
        <v>5.704648</v>
      </c>
      <c r="T149" t="n">
        <v>0.374774</v>
      </c>
      <c r="U149" t="n">
        <v>0.00003803</v>
      </c>
      <c r="V149" t="n">
        <v>0.823826</v>
      </c>
      <c r="W149" t="n">
        <v>-6.200704</v>
      </c>
      <c r="X149" t="n">
        <v>0</v>
      </c>
      <c r="Y149" t="n">
        <v>0</v>
      </c>
      <c r="Z149" t="n">
        <v>3.072544</v>
      </c>
      <c r="AA149" t="n">
        <v>5.27051507183908</v>
      </c>
      <c r="AB149" t="n">
        <v>0.000381</v>
      </c>
      <c r="AC149" t="n">
        <v>0.00108857142857143</v>
      </c>
      <c r="AD149" t="n">
        <v>0</v>
      </c>
      <c r="AE149" t="n">
        <v>0</v>
      </c>
      <c r="AF149" t="n">
        <v>0</v>
      </c>
      <c r="AG149" t="n">
        <v>0</v>
      </c>
      <c r="AH149" t="n">
        <v>5.704648</v>
      </c>
      <c r="AI149" t="n">
        <v>0</v>
      </c>
      <c r="AJ149" t="n">
        <v>0</v>
      </c>
      <c r="AK149" t="n">
        <v>0</v>
      </c>
      <c r="AL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169</v>
      </c>
      <c r="D1" t="s">
        <v>69</v>
      </c>
      <c r="E1" t="s">
        <v>70</v>
      </c>
      <c r="F1" t="s">
        <v>170</v>
      </c>
      <c r="G1" t="s">
        <v>171</v>
      </c>
      <c r="H1" t="s">
        <v>177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</row>
    <row r="2">
      <c r="A2" t="s">
        <v>102</v>
      </c>
      <c r="B2" t="n">
        <v>1421.895189</v>
      </c>
      <c r="C2" t="n">
        <v>1.506549</v>
      </c>
      <c r="D2" t="n">
        <v>645.996796</v>
      </c>
      <c r="E2" t="n">
        <v>-0.000000999999997017276</v>
      </c>
      <c r="F2" t="n">
        <v>76.320096</v>
      </c>
      <c r="G2" t="n">
        <v>3.127549</v>
      </c>
      <c r="H2" t="n">
        <v>699.567748</v>
      </c>
      <c r="I2" t="n">
        <v>0</v>
      </c>
      <c r="J2" t="n">
        <v>0</v>
      </c>
      <c r="K2" t="n">
        <v>595.154842</v>
      </c>
      <c r="L2" t="n">
        <v>84.323286</v>
      </c>
      <c r="M2" t="n">
        <v>1.88125251066</v>
      </c>
      <c r="N2" t="n">
        <v>20.089621</v>
      </c>
      <c r="O2" t="n">
        <v>4.095751391754</v>
      </c>
      <c r="P2" t="n">
        <v>26.4337118421053</v>
      </c>
      <c r="Q2" t="n">
        <v>121.415818574514</v>
      </c>
      <c r="R2" t="n">
        <v>23.536306</v>
      </c>
      <c r="S2" t="n">
        <v>-21.33192</v>
      </c>
    </row>
    <row r="3">
      <c r="A3" t="s">
        <v>180</v>
      </c>
      <c r="B3" t="n">
        <v>1421.895189</v>
      </c>
      <c r="C3" t="n">
        <v>2.414391</v>
      </c>
      <c r="D3" t="n">
        <v>677.59167</v>
      </c>
      <c r="E3" t="n">
        <v>-0.00000100000000575334</v>
      </c>
      <c r="F3" t="n">
        <v>76.320096</v>
      </c>
      <c r="G3" t="n">
        <v>3.155399</v>
      </c>
      <c r="H3" t="n">
        <v>669.823161</v>
      </c>
      <c r="I3" t="n">
        <v>0</v>
      </c>
      <c r="J3" t="n">
        <v>0</v>
      </c>
      <c r="K3" t="n">
        <v>569.639857</v>
      </c>
      <c r="L3" t="n">
        <v>81.508948</v>
      </c>
      <c r="M3" t="n">
        <v>1.81846462988</v>
      </c>
      <c r="N3" t="n">
        <v>18.674355</v>
      </c>
      <c r="O3" t="n">
        <v>3.80721545127</v>
      </c>
      <c r="P3" t="n">
        <v>24.5715197368421</v>
      </c>
      <c r="Q3" t="n">
        <v>117.363496040317</v>
      </c>
      <c r="R3" t="n">
        <v>24.778679</v>
      </c>
      <c r="S3" t="n">
        <v>-21.586051</v>
      </c>
    </row>
    <row r="4">
      <c r="A4" t="s">
        <v>182</v>
      </c>
      <c r="B4" t="n">
        <v>1421.895189</v>
      </c>
      <c r="C4" t="n">
        <v>2.536861</v>
      </c>
      <c r="D4" t="n">
        <v>760.861507</v>
      </c>
      <c r="E4" t="n">
        <v>-0.00000199999999971751</v>
      </c>
      <c r="F4" t="n">
        <v>76.320096</v>
      </c>
      <c r="G4" t="n">
        <v>3.286873</v>
      </c>
      <c r="H4" t="n">
        <v>586.655326</v>
      </c>
      <c r="I4" t="n">
        <v>0</v>
      </c>
      <c r="J4" t="n">
        <v>0</v>
      </c>
      <c r="K4" t="n">
        <v>492.488826</v>
      </c>
      <c r="L4" t="n">
        <v>77.755837</v>
      </c>
      <c r="M4" t="n">
        <v>1.73473272347</v>
      </c>
      <c r="N4" t="n">
        <v>16.410663</v>
      </c>
      <c r="O4" t="n">
        <v>3.345707508462</v>
      </c>
      <c r="P4" t="n">
        <v>21.5929776315789</v>
      </c>
      <c r="Q4" t="n">
        <v>111.959448524118</v>
      </c>
      <c r="R4" t="n">
        <v>25.246433</v>
      </c>
      <c r="S4" t="n">
        <v>-21.921163</v>
      </c>
    </row>
    <row r="5">
      <c r="A5" t="s">
        <v>183</v>
      </c>
      <c r="B5" t="n">
        <v>1421.895189</v>
      </c>
      <c r="C5" t="n">
        <v>2.582637</v>
      </c>
      <c r="D5" t="n">
        <v>797.61107</v>
      </c>
      <c r="E5" t="n">
        <v>0.000000999999999612422</v>
      </c>
      <c r="F5" t="n">
        <v>76.320096</v>
      </c>
      <c r="G5" t="n">
        <v>3.277693</v>
      </c>
      <c r="H5" t="n">
        <v>550.005375</v>
      </c>
      <c r="I5" t="n">
        <v>0</v>
      </c>
      <c r="J5" t="n">
        <v>0</v>
      </c>
      <c r="K5" t="n">
        <v>471.157221</v>
      </c>
      <c r="L5" t="n">
        <v>70.472605</v>
      </c>
      <c r="M5" t="n">
        <v>1.57224381755</v>
      </c>
      <c r="N5" t="n">
        <v>8.37555</v>
      </c>
      <c r="O5" t="n">
        <v>1.7075568807</v>
      </c>
      <c r="P5" t="n">
        <v>11.0204605263158</v>
      </c>
      <c r="Q5" t="n">
        <v>101.472433405328</v>
      </c>
      <c r="R5" t="n">
        <v>25.881228</v>
      </c>
      <c r="S5" t="n">
        <v>-22.49721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103</v>
      </c>
      <c r="C1" t="s">
        <v>67</v>
      </c>
      <c r="D1" t="s">
        <v>169</v>
      </c>
      <c r="E1" t="s">
        <v>69</v>
      </c>
      <c r="F1" t="s">
        <v>70</v>
      </c>
      <c r="G1" t="s">
        <v>170</v>
      </c>
      <c r="H1" t="s">
        <v>171</v>
      </c>
      <c r="I1" t="s">
        <v>177</v>
      </c>
      <c r="J1" t="s">
        <v>142</v>
      </c>
      <c r="K1" t="s">
        <v>143</v>
      </c>
      <c r="L1" t="s">
        <v>181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</row>
    <row r="2">
      <c r="A2" t="s">
        <v>102</v>
      </c>
      <c r="B2" t="s">
        <v>153</v>
      </c>
      <c r="C2" t="n">
        <v>34.345747</v>
      </c>
      <c r="D2" t="n">
        <v>0</v>
      </c>
      <c r="E2" t="n">
        <v>1.546048</v>
      </c>
      <c r="F2" t="n">
        <v>-4.838772</v>
      </c>
      <c r="G2" t="n">
        <v>27.639961</v>
      </c>
      <c r="H2" t="n">
        <v>0</v>
      </c>
      <c r="I2" t="n">
        <v>0.320966</v>
      </c>
      <c r="J2" t="n">
        <v>0</v>
      </c>
      <c r="K2" t="n">
        <v>0</v>
      </c>
      <c r="L2" t="n">
        <v>-0.0000164</v>
      </c>
      <c r="M2" t="n">
        <v>0</v>
      </c>
      <c r="N2" t="n">
        <v>0.215055</v>
      </c>
      <c r="O2" t="n">
        <v>0.00479787705</v>
      </c>
      <c r="P2" t="n">
        <v>0.105912</v>
      </c>
      <c r="Q2" t="n">
        <v>0.021592703088</v>
      </c>
      <c r="R2" t="n">
        <v>0.139357894736842</v>
      </c>
      <c r="S2" t="n">
        <v>0.309654427645788</v>
      </c>
      <c r="T2" t="n">
        <v>0</v>
      </c>
      <c r="U2" t="n">
        <v>0</v>
      </c>
    </row>
    <row r="3">
      <c r="A3" t="s">
        <v>102</v>
      </c>
      <c r="B3" t="s">
        <v>154</v>
      </c>
      <c r="C3" t="n">
        <v>69.788366</v>
      </c>
      <c r="D3" t="n">
        <v>0</v>
      </c>
      <c r="E3" t="n">
        <v>3.517895</v>
      </c>
      <c r="F3" t="n">
        <v>32.096443</v>
      </c>
      <c r="G3" t="n">
        <v>0</v>
      </c>
      <c r="H3" t="n">
        <v>0</v>
      </c>
      <c r="I3" t="n">
        <v>98.366914</v>
      </c>
      <c r="J3" t="n">
        <v>0</v>
      </c>
      <c r="K3" t="n">
        <v>0</v>
      </c>
      <c r="L3" t="n">
        <v>0.00011276</v>
      </c>
      <c r="M3" t="n">
        <v>91.362553</v>
      </c>
      <c r="N3" t="n">
        <v>6.281852</v>
      </c>
      <c r="O3" t="n">
        <v>0.14014811812</v>
      </c>
      <c r="P3" t="n">
        <v>0.722508</v>
      </c>
      <c r="Q3" t="n">
        <v>0.147300595992</v>
      </c>
      <c r="R3" t="n">
        <v>0.950668421052632</v>
      </c>
      <c r="S3" t="n">
        <v>9.04514326853852</v>
      </c>
      <c r="T3" t="n">
        <v>0</v>
      </c>
      <c r="U3" t="n">
        <v>0</v>
      </c>
    </row>
    <row r="4">
      <c r="A4" t="s">
        <v>102</v>
      </c>
      <c r="B4" t="s">
        <v>155</v>
      </c>
      <c r="C4" t="n">
        <v>0</v>
      </c>
      <c r="D4" t="n">
        <v>0</v>
      </c>
      <c r="E4" t="n">
        <v>0.019331</v>
      </c>
      <c r="F4" t="n">
        <v>0.019331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-0.00004202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s">
        <v>102</v>
      </c>
      <c r="B5" t="s">
        <v>156</v>
      </c>
      <c r="C5" t="n">
        <v>38.943759</v>
      </c>
      <c r="D5" t="n">
        <v>0</v>
      </c>
      <c r="E5" t="n">
        <v>1.076596</v>
      </c>
      <c r="F5" t="n">
        <v>13.358528</v>
      </c>
      <c r="G5" t="n">
        <v>48.680135</v>
      </c>
      <c r="H5" t="n">
        <v>0</v>
      </c>
      <c r="I5" t="n">
        <v>2.545556</v>
      </c>
      <c r="J5" t="n">
        <v>0</v>
      </c>
      <c r="K5" t="n">
        <v>0</v>
      </c>
      <c r="L5" t="n">
        <v>0.00017169</v>
      </c>
      <c r="M5" t="n">
        <v>0</v>
      </c>
      <c r="N5" t="n">
        <v>1.004453</v>
      </c>
      <c r="O5" t="n">
        <v>0.02240934643</v>
      </c>
      <c r="P5" t="n">
        <v>1.541104</v>
      </c>
      <c r="Q5" t="n">
        <v>0.314191036896</v>
      </c>
      <c r="R5" t="n">
        <v>2.02776842105263</v>
      </c>
      <c r="S5" t="n">
        <v>1.4462966162707</v>
      </c>
      <c r="T5" t="n">
        <v>0</v>
      </c>
      <c r="U5" t="n">
        <v>0</v>
      </c>
    </row>
    <row r="6">
      <c r="A6" t="s">
        <v>102</v>
      </c>
      <c r="B6" t="s">
        <v>157</v>
      </c>
      <c r="C6" t="n">
        <v>431.596502</v>
      </c>
      <c r="D6" t="n">
        <v>0</v>
      </c>
      <c r="E6" t="n">
        <v>109.131173</v>
      </c>
      <c r="F6" t="n">
        <v>-109.925922</v>
      </c>
      <c r="G6" t="n">
        <v>0</v>
      </c>
      <c r="H6" t="n">
        <v>0.55205</v>
      </c>
      <c r="I6" t="n">
        <v>211.983279</v>
      </c>
      <c r="J6" t="n">
        <v>0</v>
      </c>
      <c r="K6" t="n">
        <v>0</v>
      </c>
      <c r="L6" t="n">
        <v>0.0001717</v>
      </c>
      <c r="M6" t="n">
        <v>181.645316</v>
      </c>
      <c r="N6" t="n">
        <v>27.270647</v>
      </c>
      <c r="O6" t="n">
        <v>0.60840813457</v>
      </c>
      <c r="P6" t="n">
        <v>3.067316</v>
      </c>
      <c r="Q6" t="n">
        <v>0.625345982184</v>
      </c>
      <c r="R6" t="n">
        <v>4.03594210526316</v>
      </c>
      <c r="S6" t="n">
        <v>39.2665903527718</v>
      </c>
      <c r="T6" t="n">
        <v>2.286139</v>
      </c>
      <c r="U6" t="n">
        <v>-2.290207</v>
      </c>
    </row>
    <row r="7">
      <c r="A7" t="s">
        <v>102</v>
      </c>
      <c r="B7" t="s">
        <v>158</v>
      </c>
      <c r="C7" t="n">
        <v>26.109425</v>
      </c>
      <c r="D7" t="n">
        <v>0</v>
      </c>
      <c r="E7" t="n">
        <v>35.203179</v>
      </c>
      <c r="F7" t="n">
        <v>8.811475</v>
      </c>
      <c r="G7" t="n">
        <v>0</v>
      </c>
      <c r="H7" t="n">
        <v>0.309051</v>
      </c>
      <c r="I7" t="n">
        <v>0</v>
      </c>
      <c r="J7" t="n">
        <v>0</v>
      </c>
      <c r="K7" t="n">
        <v>0</v>
      </c>
      <c r="L7" t="n">
        <v>0.00016438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0.736477</v>
      </c>
      <c r="U7" t="n">
        <v>-0.144989</v>
      </c>
    </row>
    <row r="8">
      <c r="A8" t="s">
        <v>102</v>
      </c>
      <c r="B8" t="s">
        <v>159</v>
      </c>
      <c r="C8" t="n">
        <v>51.856896</v>
      </c>
      <c r="D8" t="n">
        <v>0</v>
      </c>
      <c r="E8" t="n">
        <v>45.90625</v>
      </c>
      <c r="F8" t="n">
        <v>79.670729</v>
      </c>
      <c r="G8" t="n">
        <v>0</v>
      </c>
      <c r="H8" t="n">
        <v>0</v>
      </c>
      <c r="I8" t="n">
        <v>85.615551</v>
      </c>
      <c r="J8" t="n">
        <v>0</v>
      </c>
      <c r="K8" t="n">
        <v>0</v>
      </c>
      <c r="L8" t="n">
        <v>0.00001214</v>
      </c>
      <c r="M8" t="n">
        <v>85.592752</v>
      </c>
      <c r="N8" t="n">
        <v>0.009783</v>
      </c>
      <c r="O8" t="n">
        <v>0.00021825873</v>
      </c>
      <c r="P8" t="n">
        <v>0.013017</v>
      </c>
      <c r="Q8" t="n">
        <v>0.002653827858</v>
      </c>
      <c r="R8" t="n">
        <v>0.0171276315789474</v>
      </c>
      <c r="S8" t="n">
        <v>0.0140863930885529</v>
      </c>
      <c r="T8" t="n">
        <v>7.893545</v>
      </c>
      <c r="U8" t="n">
        <v>-7.899365</v>
      </c>
    </row>
    <row r="9">
      <c r="A9" t="s">
        <v>102</v>
      </c>
      <c r="B9" t="s">
        <v>160</v>
      </c>
      <c r="C9" t="n">
        <v>72.382886</v>
      </c>
      <c r="D9" t="n">
        <v>0</v>
      </c>
      <c r="E9" t="n">
        <v>99.855244</v>
      </c>
      <c r="F9" t="n">
        <v>29.974797</v>
      </c>
      <c r="G9" t="n">
        <v>0</v>
      </c>
      <c r="H9" t="n">
        <v>0.416009</v>
      </c>
      <c r="I9" t="n">
        <v>2.086431</v>
      </c>
      <c r="J9" t="n">
        <v>0</v>
      </c>
      <c r="K9" t="n">
        <v>0</v>
      </c>
      <c r="L9" t="n">
        <v>0.00017176</v>
      </c>
      <c r="M9" t="n">
        <v>0</v>
      </c>
      <c r="N9" t="n">
        <v>0.84159</v>
      </c>
      <c r="O9" t="n">
        <v>0.0187758729</v>
      </c>
      <c r="P9" t="n">
        <v>1.24484</v>
      </c>
      <c r="Q9" t="n">
        <v>0.25379051016</v>
      </c>
      <c r="R9" t="n">
        <v>1.63794736842105</v>
      </c>
      <c r="S9" t="n">
        <v>1.21179265658747</v>
      </c>
      <c r="T9" t="n">
        <v>0</v>
      </c>
      <c r="U9" t="n">
        <v>0</v>
      </c>
    </row>
    <row r="10">
      <c r="A10" t="s">
        <v>102</v>
      </c>
      <c r="B10" t="s">
        <v>161</v>
      </c>
      <c r="C10" t="n">
        <v>141.397426</v>
      </c>
      <c r="D10" t="n">
        <v>0</v>
      </c>
      <c r="E10" t="n">
        <v>50.887713</v>
      </c>
      <c r="F10" t="n">
        <v>-49.979482</v>
      </c>
      <c r="G10" t="n">
        <v>0</v>
      </c>
      <c r="H10" t="n">
        <v>0</v>
      </c>
      <c r="I10" t="n">
        <v>40.504163</v>
      </c>
      <c r="J10" t="n">
        <v>0</v>
      </c>
      <c r="K10" t="n">
        <v>0</v>
      </c>
      <c r="L10" t="n">
        <v>0.00011276</v>
      </c>
      <c r="M10" t="n">
        <v>32.604284</v>
      </c>
      <c r="N10" t="n">
        <v>7.074867</v>
      </c>
      <c r="O10" t="n">
        <v>0.15784028277</v>
      </c>
      <c r="P10" t="n">
        <v>0.825012</v>
      </c>
      <c r="Q10" t="n">
        <v>0.168198496488</v>
      </c>
      <c r="R10" t="n">
        <v>1.08554210526316</v>
      </c>
      <c r="S10" t="n">
        <v>10.1869935205184</v>
      </c>
      <c r="T10" t="n">
        <v>0.672283</v>
      </c>
      <c r="U10" t="n">
        <v>-0.698167</v>
      </c>
    </row>
    <row r="11">
      <c r="A11" t="s">
        <v>102</v>
      </c>
      <c r="B11" t="s">
        <v>162</v>
      </c>
      <c r="C11" t="n">
        <v>12.169275</v>
      </c>
      <c r="D11" t="n">
        <v>0</v>
      </c>
      <c r="E11" t="n">
        <v>12.166494</v>
      </c>
      <c r="F11" t="n">
        <v>0</v>
      </c>
      <c r="G11" t="n">
        <v>0</v>
      </c>
      <c r="H11" t="n">
        <v>0.002781</v>
      </c>
      <c r="I11" t="n">
        <v>0</v>
      </c>
      <c r="J11" t="n">
        <v>0</v>
      </c>
      <c r="K11" t="n">
        <v>0</v>
      </c>
      <c r="L11" t="n">
        <v>0.00005324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102</v>
      </c>
      <c r="B12" t="s">
        <v>163</v>
      </c>
      <c r="C12" t="n">
        <v>109.358686</v>
      </c>
      <c r="D12" t="n">
        <v>1.506549</v>
      </c>
      <c r="E12" t="n">
        <v>2.098023</v>
      </c>
      <c r="F12" t="n">
        <v>59.24445</v>
      </c>
      <c r="G12" t="n">
        <v>0</v>
      </c>
      <c r="H12" t="n">
        <v>0</v>
      </c>
      <c r="I12" t="n">
        <v>169.661053</v>
      </c>
      <c r="J12" t="n">
        <v>0</v>
      </c>
      <c r="K12" t="n">
        <v>0</v>
      </c>
      <c r="L12" t="n">
        <v>-0.00004202</v>
      </c>
      <c r="M12" t="n">
        <v>169.661053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5.568623</v>
      </c>
      <c r="U12" t="n">
        <v>-3.919266</v>
      </c>
    </row>
    <row r="13">
      <c r="A13" t="s">
        <v>102</v>
      </c>
      <c r="B13" t="s">
        <v>164</v>
      </c>
      <c r="C13" t="n">
        <v>96.496577</v>
      </c>
      <c r="D13" t="n">
        <v>0</v>
      </c>
      <c r="E13" t="n">
        <v>93.943202</v>
      </c>
      <c r="F13" t="n">
        <v>51.924494</v>
      </c>
      <c r="G13" t="n">
        <v>0</v>
      </c>
      <c r="H13" t="n">
        <v>0</v>
      </c>
      <c r="I13" t="n">
        <v>54.477869</v>
      </c>
      <c r="J13" t="n">
        <v>0</v>
      </c>
      <c r="K13" t="n">
        <v>0</v>
      </c>
      <c r="L13" t="n">
        <v>0.00015687</v>
      </c>
      <c r="M13" t="n">
        <v>34.288884</v>
      </c>
      <c r="N13" t="n">
        <v>18.061525</v>
      </c>
      <c r="O13" t="n">
        <v>0.40295262275</v>
      </c>
      <c r="P13" t="n">
        <v>2.12746</v>
      </c>
      <c r="Q13" t="n">
        <v>0.43373378004</v>
      </c>
      <c r="R13" t="n">
        <v>2.79928947368421</v>
      </c>
      <c r="S13" t="n">
        <v>26.0065154787617</v>
      </c>
      <c r="T13" t="n">
        <v>4.798237</v>
      </c>
      <c r="U13" t="n">
        <v>-4.79824</v>
      </c>
    </row>
    <row r="14">
      <c r="A14" t="s">
        <v>102</v>
      </c>
      <c r="B14" t="s">
        <v>165</v>
      </c>
      <c r="C14" t="n">
        <v>112.875693</v>
      </c>
      <c r="D14" t="n">
        <v>0</v>
      </c>
      <c r="E14" t="n">
        <v>4.995412</v>
      </c>
      <c r="F14" t="n">
        <v>-94.293316</v>
      </c>
      <c r="G14" t="n">
        <v>0</v>
      </c>
      <c r="H14" t="n">
        <v>0.775703</v>
      </c>
      <c r="I14" t="n">
        <v>12.217649</v>
      </c>
      <c r="J14" t="n">
        <v>0</v>
      </c>
      <c r="K14" t="n">
        <v>0</v>
      </c>
      <c r="L14" t="n">
        <v>0.00017286</v>
      </c>
      <c r="M14" t="n">
        <v>0</v>
      </c>
      <c r="N14" t="n">
        <v>4.976416</v>
      </c>
      <c r="O14" t="n">
        <v>0.11102384096</v>
      </c>
      <c r="P14" t="n">
        <v>7.241233</v>
      </c>
      <c r="Q14" t="n">
        <v>1.476299136642</v>
      </c>
      <c r="R14" t="n">
        <v>9.52793815789474</v>
      </c>
      <c r="S14" t="n">
        <v>7.16546580273578</v>
      </c>
      <c r="T14" t="n">
        <v>0</v>
      </c>
      <c r="U14" t="n">
        <v>0</v>
      </c>
    </row>
    <row r="15">
      <c r="A15" t="s">
        <v>102</v>
      </c>
      <c r="B15" t="s">
        <v>166</v>
      </c>
      <c r="C15" t="n">
        <v>16.65749</v>
      </c>
      <c r="D15" t="n">
        <v>0</v>
      </c>
      <c r="E15" t="n">
        <v>15.330239</v>
      </c>
      <c r="F15" t="n">
        <v>-1.322068</v>
      </c>
      <c r="G15" t="n">
        <v>0</v>
      </c>
      <c r="H15" t="n">
        <v>0</v>
      </c>
      <c r="I15" t="n">
        <v>0.005183</v>
      </c>
      <c r="J15" t="n">
        <v>0</v>
      </c>
      <c r="K15" t="n">
        <v>0</v>
      </c>
      <c r="L15" t="n">
        <v>0.00001214</v>
      </c>
      <c r="M15" t="n">
        <v>0</v>
      </c>
      <c r="N15" t="n">
        <v>0.00261</v>
      </c>
      <c r="O15" t="n">
        <v>0.0000582291</v>
      </c>
      <c r="P15" t="n">
        <v>0.002573</v>
      </c>
      <c r="Q15" t="n">
        <v>0.000524567802</v>
      </c>
      <c r="R15" t="n">
        <v>0.00338552631578947</v>
      </c>
      <c r="S15" t="n">
        <v>0.00375809935205184</v>
      </c>
      <c r="T15" t="n">
        <v>0</v>
      </c>
      <c r="U15" t="n">
        <v>0</v>
      </c>
    </row>
    <row r="16">
      <c r="A16" t="s">
        <v>102</v>
      </c>
      <c r="B16" t="s">
        <v>167</v>
      </c>
      <c r="C16" t="n">
        <v>60.520207</v>
      </c>
      <c r="D16" t="n">
        <v>0</v>
      </c>
      <c r="E16" t="n">
        <v>51.589775</v>
      </c>
      <c r="F16" t="n">
        <v>-6.8709</v>
      </c>
      <c r="G16" t="n">
        <v>0</v>
      </c>
      <c r="H16" t="n">
        <v>0.297465</v>
      </c>
      <c r="I16" t="n">
        <v>1.762067</v>
      </c>
      <c r="J16" t="n">
        <v>0</v>
      </c>
      <c r="K16" t="n">
        <v>0</v>
      </c>
      <c r="L16" t="n">
        <v>0.00017176</v>
      </c>
      <c r="M16" t="n">
        <v>0</v>
      </c>
      <c r="N16" t="n">
        <v>0.71326</v>
      </c>
      <c r="O16" t="n">
        <v>0.0159128306</v>
      </c>
      <c r="P16" t="n">
        <v>1.048807</v>
      </c>
      <c r="Q16" t="n">
        <v>0.213824478318</v>
      </c>
      <c r="R16" t="n">
        <v>1.38000921052632</v>
      </c>
      <c r="S16" t="n">
        <v>1.02701223902088</v>
      </c>
      <c r="T16" t="n">
        <v>0</v>
      </c>
      <c r="U16" t="n">
        <v>0</v>
      </c>
    </row>
    <row r="17">
      <c r="A17" t="s">
        <v>102</v>
      </c>
      <c r="B17" t="s">
        <v>168</v>
      </c>
      <c r="C17" t="n">
        <v>147.396254</v>
      </c>
      <c r="D17" t="n">
        <v>0</v>
      </c>
      <c r="E17" t="n">
        <v>118.730222</v>
      </c>
      <c r="F17" t="n">
        <v>-7.869788</v>
      </c>
      <c r="G17" t="n">
        <v>0</v>
      </c>
      <c r="H17" t="n">
        <v>0.77449</v>
      </c>
      <c r="I17" t="n">
        <v>20.021067</v>
      </c>
      <c r="J17" t="n">
        <v>0</v>
      </c>
      <c r="K17" t="n">
        <v>0</v>
      </c>
      <c r="L17" t="n">
        <v>0.00018703</v>
      </c>
      <c r="M17" t="n">
        <v>0</v>
      </c>
      <c r="N17" t="n">
        <v>17.871228</v>
      </c>
      <c r="O17" t="n">
        <v>0.39870709668</v>
      </c>
      <c r="P17" t="n">
        <v>2.149839</v>
      </c>
      <c r="Q17" t="n">
        <v>0.438296276286</v>
      </c>
      <c r="R17" t="n">
        <v>2.82873552631579</v>
      </c>
      <c r="S17" t="n">
        <v>25.7325097192225</v>
      </c>
      <c r="T17" t="n">
        <v>1.581002</v>
      </c>
      <c r="U17" t="n">
        <v>-1.581686</v>
      </c>
    </row>
    <row r="18">
      <c r="A18" t="s">
        <v>180</v>
      </c>
      <c r="B18" t="s">
        <v>153</v>
      </c>
      <c r="C18" t="n">
        <v>34.345747</v>
      </c>
      <c r="D18" t="n">
        <v>0</v>
      </c>
      <c r="E18" t="n">
        <v>1.464869</v>
      </c>
      <c r="F18" t="n">
        <v>-4.947655</v>
      </c>
      <c r="G18" t="n">
        <v>27.639961</v>
      </c>
      <c r="H18" t="n">
        <v>0</v>
      </c>
      <c r="I18" t="n">
        <v>0.293262</v>
      </c>
      <c r="J18" t="n">
        <v>0</v>
      </c>
      <c r="K18" t="n">
        <v>0</v>
      </c>
      <c r="L18" t="n">
        <v>-0.000043</v>
      </c>
      <c r="M18" t="n">
        <v>0</v>
      </c>
      <c r="N18" t="n">
        <v>0.201516</v>
      </c>
      <c r="O18" t="n">
        <v>0.00449582196</v>
      </c>
      <c r="P18" t="n">
        <v>0.091746</v>
      </c>
      <c r="Q18" t="n">
        <v>0.018704624004</v>
      </c>
      <c r="R18" t="n">
        <v>0.120718421052632</v>
      </c>
      <c r="S18" t="n">
        <v>0.290159827213823</v>
      </c>
      <c r="T18" t="n">
        <v>0</v>
      </c>
      <c r="U18" t="n">
        <v>0</v>
      </c>
    </row>
    <row r="19">
      <c r="A19" t="s">
        <v>180</v>
      </c>
      <c r="B19" t="s">
        <v>154</v>
      </c>
      <c r="C19" t="n">
        <v>69.788366</v>
      </c>
      <c r="D19" t="n">
        <v>0</v>
      </c>
      <c r="E19" t="n">
        <v>3.91812</v>
      </c>
      <c r="F19" t="n">
        <v>25.562372</v>
      </c>
      <c r="G19" t="n">
        <v>0</v>
      </c>
      <c r="H19" t="n">
        <v>0</v>
      </c>
      <c r="I19" t="n">
        <v>91.432618</v>
      </c>
      <c r="J19" t="n">
        <v>0</v>
      </c>
      <c r="K19" t="n">
        <v>0</v>
      </c>
      <c r="L19" t="n">
        <v>0.00010699</v>
      </c>
      <c r="M19" t="n">
        <v>84.700183</v>
      </c>
      <c r="N19" t="n">
        <v>6.063035</v>
      </c>
      <c r="O19" t="n">
        <v>0.13526631085</v>
      </c>
      <c r="P19" t="n">
        <v>0.669399</v>
      </c>
      <c r="Q19" t="n">
        <v>0.136473051726</v>
      </c>
      <c r="R19" t="n">
        <v>0.880788157894737</v>
      </c>
      <c r="S19" t="n">
        <v>8.73007199424046</v>
      </c>
      <c r="T19" t="n">
        <v>0</v>
      </c>
      <c r="U19" t="n">
        <v>0</v>
      </c>
    </row>
    <row r="20">
      <c r="A20" t="s">
        <v>180</v>
      </c>
      <c r="B20" t="s">
        <v>155</v>
      </c>
      <c r="C20" t="n">
        <v>0</v>
      </c>
      <c r="D20" t="n">
        <v>0</v>
      </c>
      <c r="E20" t="n">
        <v>0.047487</v>
      </c>
      <c r="F20" t="n">
        <v>0.047487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-0.00007385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180</v>
      </c>
      <c r="B21" t="s">
        <v>156</v>
      </c>
      <c r="C21" t="n">
        <v>38.943759</v>
      </c>
      <c r="D21" t="n">
        <v>0</v>
      </c>
      <c r="E21" t="n">
        <v>1.330983</v>
      </c>
      <c r="F21" t="n">
        <v>13.459447</v>
      </c>
      <c r="G21" t="n">
        <v>48.680135</v>
      </c>
      <c r="H21" t="n">
        <v>0</v>
      </c>
      <c r="I21" t="n">
        <v>2.392088</v>
      </c>
      <c r="J21" t="n">
        <v>0</v>
      </c>
      <c r="K21" t="n">
        <v>0</v>
      </c>
      <c r="L21" t="n">
        <v>0.00016423</v>
      </c>
      <c r="M21" t="n">
        <v>0</v>
      </c>
      <c r="N21" t="n">
        <v>0.965021</v>
      </c>
      <c r="O21" t="n">
        <v>0.02152961851</v>
      </c>
      <c r="P21" t="n">
        <v>1.427067</v>
      </c>
      <c r="Q21" t="n">
        <v>0.290941857558</v>
      </c>
      <c r="R21" t="n">
        <v>1.87771973684211</v>
      </c>
      <c r="S21" t="n">
        <v>1.38951907847372</v>
      </c>
      <c r="T21" t="n">
        <v>0</v>
      </c>
      <c r="U21" t="n">
        <v>0</v>
      </c>
    </row>
    <row r="22">
      <c r="A22" t="s">
        <v>180</v>
      </c>
      <c r="B22" t="s">
        <v>157</v>
      </c>
      <c r="C22" t="n">
        <v>431.596502</v>
      </c>
      <c r="D22" t="n">
        <v>0</v>
      </c>
      <c r="E22" t="n">
        <v>117.979818</v>
      </c>
      <c r="F22" t="n">
        <v>-109.430265</v>
      </c>
      <c r="G22" t="n">
        <v>0</v>
      </c>
      <c r="H22" t="n">
        <v>0.562073</v>
      </c>
      <c r="I22" t="n">
        <v>203.621544</v>
      </c>
      <c r="J22" t="n">
        <v>0</v>
      </c>
      <c r="K22" t="n">
        <v>0</v>
      </c>
      <c r="L22" t="n">
        <v>0.00016424</v>
      </c>
      <c r="M22" t="n">
        <v>174.333758</v>
      </c>
      <c r="N22" t="n">
        <v>26.447077</v>
      </c>
      <c r="O22" t="n">
        <v>0.59003428787</v>
      </c>
      <c r="P22" t="n">
        <v>2.84071</v>
      </c>
      <c r="Q22" t="n">
        <v>0.57914691054</v>
      </c>
      <c r="R22" t="n">
        <v>3.73777631578947</v>
      </c>
      <c r="S22" t="n">
        <v>38.0807444204464</v>
      </c>
      <c r="T22" t="n">
        <v>2.442336</v>
      </c>
      <c r="U22" t="n">
        <v>-2.445146</v>
      </c>
    </row>
    <row r="23">
      <c r="A23" t="s">
        <v>180</v>
      </c>
      <c r="B23" t="s">
        <v>158</v>
      </c>
      <c r="C23" t="n">
        <v>26.109425</v>
      </c>
      <c r="D23" t="n">
        <v>0</v>
      </c>
      <c r="E23" t="n">
        <v>36.478609</v>
      </c>
      <c r="F23" t="n">
        <v>10.071453</v>
      </c>
      <c r="G23" t="n">
        <v>0</v>
      </c>
      <c r="H23" t="n">
        <v>0.31121</v>
      </c>
      <c r="I23" t="n">
        <v>0</v>
      </c>
      <c r="J23" t="n">
        <v>0</v>
      </c>
      <c r="K23" t="n">
        <v>0</v>
      </c>
      <c r="L23" t="n">
        <v>0.00014487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0.74993</v>
      </c>
      <c r="U23" t="n">
        <v>-0.140901</v>
      </c>
    </row>
    <row r="24">
      <c r="A24" t="s">
        <v>180</v>
      </c>
      <c r="B24" t="s">
        <v>159</v>
      </c>
      <c r="C24" t="n">
        <v>51.856896</v>
      </c>
      <c r="D24" t="n">
        <v>0</v>
      </c>
      <c r="E24" t="n">
        <v>46.086869</v>
      </c>
      <c r="F24" t="n">
        <v>79.544863</v>
      </c>
      <c r="G24" t="n">
        <v>0</v>
      </c>
      <c r="H24" t="n">
        <v>0</v>
      </c>
      <c r="I24" t="n">
        <v>85.309066</v>
      </c>
      <c r="J24" t="n">
        <v>0</v>
      </c>
      <c r="K24" t="n">
        <v>0</v>
      </c>
      <c r="L24" t="n">
        <v>-0.00001162</v>
      </c>
      <c r="M24" t="n">
        <v>85.30672</v>
      </c>
      <c r="N24" t="n">
        <v>0.000783</v>
      </c>
      <c r="O24" t="n">
        <v>0.00001746873</v>
      </c>
      <c r="P24" t="n">
        <v>0.001563</v>
      </c>
      <c r="Q24" t="n">
        <v>0.000318655062</v>
      </c>
      <c r="R24" t="n">
        <v>0.00205657894736842</v>
      </c>
      <c r="S24" t="n">
        <v>0.00112742980561555</v>
      </c>
      <c r="T24" t="n">
        <v>8.381157</v>
      </c>
      <c r="U24" t="n">
        <v>-8.386965</v>
      </c>
    </row>
    <row r="25">
      <c r="A25" t="s">
        <v>180</v>
      </c>
      <c r="B25" t="s">
        <v>160</v>
      </c>
      <c r="C25" t="n">
        <v>72.382886</v>
      </c>
      <c r="D25" t="n">
        <v>0</v>
      </c>
      <c r="E25" t="n">
        <v>101.311233</v>
      </c>
      <c r="F25" t="n">
        <v>31.324351</v>
      </c>
      <c r="G25" t="n">
        <v>0</v>
      </c>
      <c r="H25" t="n">
        <v>0.421432</v>
      </c>
      <c r="I25" t="n">
        <v>1.974571</v>
      </c>
      <c r="J25" t="n">
        <v>0</v>
      </c>
      <c r="K25" t="n">
        <v>0</v>
      </c>
      <c r="L25" t="n">
        <v>0.00016428</v>
      </c>
      <c r="M25" t="n">
        <v>0</v>
      </c>
      <c r="N25" t="n">
        <v>0.818484</v>
      </c>
      <c r="O25" t="n">
        <v>0.01826037804</v>
      </c>
      <c r="P25" t="n">
        <v>1.156087</v>
      </c>
      <c r="Q25" t="n">
        <v>0.235696081038</v>
      </c>
      <c r="R25" t="n">
        <v>1.52116710526316</v>
      </c>
      <c r="S25" t="n">
        <v>1.17852267818575</v>
      </c>
      <c r="T25" t="n">
        <v>0</v>
      </c>
      <c r="U25" t="n">
        <v>0</v>
      </c>
    </row>
    <row r="26">
      <c r="A26" t="s">
        <v>180</v>
      </c>
      <c r="B26" t="s">
        <v>161</v>
      </c>
      <c r="C26" t="n">
        <v>141.397426</v>
      </c>
      <c r="D26" t="n">
        <v>0</v>
      </c>
      <c r="E26" t="n">
        <v>56.428847</v>
      </c>
      <c r="F26" t="n">
        <v>-50.62784</v>
      </c>
      <c r="G26" t="n">
        <v>0</v>
      </c>
      <c r="H26" t="n">
        <v>0</v>
      </c>
      <c r="I26" t="n">
        <v>34.31467</v>
      </c>
      <c r="J26" t="n">
        <v>0</v>
      </c>
      <c r="K26" t="n">
        <v>0</v>
      </c>
      <c r="L26" t="n">
        <v>0.000107</v>
      </c>
      <c r="M26" t="n">
        <v>26.742752</v>
      </c>
      <c r="N26" t="n">
        <v>6.807905</v>
      </c>
      <c r="O26" t="n">
        <v>0.15188436055</v>
      </c>
      <c r="P26" t="n">
        <v>0.764013</v>
      </c>
      <c r="Q26" t="n">
        <v>0.155762386362</v>
      </c>
      <c r="R26" t="n">
        <v>1.00528026315789</v>
      </c>
      <c r="S26" t="n">
        <v>9.80259899208063</v>
      </c>
      <c r="T26" t="n">
        <v>0.711782</v>
      </c>
      <c r="U26" t="n">
        <v>-0.737684</v>
      </c>
    </row>
    <row r="27">
      <c r="A27" t="s">
        <v>180</v>
      </c>
      <c r="B27" t="s">
        <v>162</v>
      </c>
      <c r="C27" t="n">
        <v>12.169275</v>
      </c>
      <c r="D27" t="n">
        <v>0</v>
      </c>
      <c r="E27" t="n">
        <v>12.166523</v>
      </c>
      <c r="F27" t="n">
        <v>0</v>
      </c>
      <c r="G27" t="n">
        <v>0</v>
      </c>
      <c r="H27" t="n">
        <v>0.002751</v>
      </c>
      <c r="I27" t="n">
        <v>0</v>
      </c>
      <c r="J27" t="n">
        <v>0</v>
      </c>
      <c r="K27" t="n">
        <v>0</v>
      </c>
      <c r="L27" t="n">
        <v>0.00002663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180</v>
      </c>
      <c r="B28" t="s">
        <v>163</v>
      </c>
      <c r="C28" t="n">
        <v>109.358686</v>
      </c>
      <c r="D28" t="n">
        <v>2.414391</v>
      </c>
      <c r="E28" t="n">
        <v>4.20091</v>
      </c>
      <c r="F28" t="n">
        <v>59.415821</v>
      </c>
      <c r="G28" t="n">
        <v>0</v>
      </c>
      <c r="H28" t="n">
        <v>0</v>
      </c>
      <c r="I28" t="n">
        <v>169.606831</v>
      </c>
      <c r="J28" t="n">
        <v>0</v>
      </c>
      <c r="K28" t="n">
        <v>0</v>
      </c>
      <c r="L28" t="n">
        <v>-0.00007385</v>
      </c>
      <c r="M28" t="n">
        <v>169.606831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5.604984</v>
      </c>
      <c r="U28" t="n">
        <v>-2.986154</v>
      </c>
    </row>
    <row r="29">
      <c r="A29" t="s">
        <v>180</v>
      </c>
      <c r="B29" t="s">
        <v>164</v>
      </c>
      <c r="C29" t="n">
        <v>96.496577</v>
      </c>
      <c r="D29" t="n">
        <v>0</v>
      </c>
      <c r="E29" t="n">
        <v>98.834532</v>
      </c>
      <c r="F29" t="n">
        <v>50.671888</v>
      </c>
      <c r="G29" t="n">
        <v>0</v>
      </c>
      <c r="H29" t="n">
        <v>0</v>
      </c>
      <c r="I29" t="n">
        <v>48.333933</v>
      </c>
      <c r="J29" t="n">
        <v>0</v>
      </c>
      <c r="K29" t="n">
        <v>0</v>
      </c>
      <c r="L29" t="n">
        <v>0.00014985</v>
      </c>
      <c r="M29" t="n">
        <v>28.949613</v>
      </c>
      <c r="N29" t="n">
        <v>17.404506</v>
      </c>
      <c r="O29" t="n">
        <v>0.38829452886</v>
      </c>
      <c r="P29" t="n">
        <v>1.979815</v>
      </c>
      <c r="Q29" t="n">
        <v>0.40363280331</v>
      </c>
      <c r="R29" t="n">
        <v>2.60501973684211</v>
      </c>
      <c r="S29" t="n">
        <v>25.0604838012959</v>
      </c>
      <c r="T29" t="n">
        <v>5.184548</v>
      </c>
      <c r="U29" t="n">
        <v>-5.1845</v>
      </c>
    </row>
    <row r="30">
      <c r="A30" t="s">
        <v>180</v>
      </c>
      <c r="B30" t="s">
        <v>165</v>
      </c>
      <c r="C30" t="n">
        <v>112.875693</v>
      </c>
      <c r="D30" t="n">
        <v>0</v>
      </c>
      <c r="E30" t="n">
        <v>5.730337</v>
      </c>
      <c r="F30" t="n">
        <v>-94.155064</v>
      </c>
      <c r="G30" t="n">
        <v>0</v>
      </c>
      <c r="H30" t="n">
        <v>0.781045</v>
      </c>
      <c r="I30" t="n">
        <v>11.597676</v>
      </c>
      <c r="J30" t="n">
        <v>0</v>
      </c>
      <c r="K30" t="n">
        <v>0</v>
      </c>
      <c r="L30" t="n">
        <v>0.00016548</v>
      </c>
      <c r="M30" t="n">
        <v>0</v>
      </c>
      <c r="N30" t="n">
        <v>4.859691</v>
      </c>
      <c r="O30" t="n">
        <v>0.10841970621</v>
      </c>
      <c r="P30" t="n">
        <v>6.737984</v>
      </c>
      <c r="Q30" t="n">
        <v>1.373699750016</v>
      </c>
      <c r="R30" t="n">
        <v>8.86576842105263</v>
      </c>
      <c r="S30" t="n">
        <v>6.99739524838013</v>
      </c>
      <c r="T30" t="n">
        <v>0</v>
      </c>
      <c r="U30" t="n">
        <v>0</v>
      </c>
    </row>
    <row r="31">
      <c r="A31" t="s">
        <v>180</v>
      </c>
      <c r="B31" t="s">
        <v>166</v>
      </c>
      <c r="C31" t="n">
        <v>16.65749</v>
      </c>
      <c r="D31" t="n">
        <v>0</v>
      </c>
      <c r="E31" t="n">
        <v>15.436585</v>
      </c>
      <c r="F31" t="n">
        <v>-1.219795</v>
      </c>
      <c r="G31" t="n">
        <v>0</v>
      </c>
      <c r="H31" t="n">
        <v>0</v>
      </c>
      <c r="I31" t="n">
        <v>0.001111</v>
      </c>
      <c r="J31" t="n">
        <v>0</v>
      </c>
      <c r="K31" t="n">
        <v>0</v>
      </c>
      <c r="L31" t="n">
        <v>-0.00001163</v>
      </c>
      <c r="M31" t="n">
        <v>0</v>
      </c>
      <c r="N31" t="n">
        <v>0.000831</v>
      </c>
      <c r="O31" t="n">
        <v>0.00001853961</v>
      </c>
      <c r="P31" t="n">
        <v>0.000279</v>
      </c>
      <c r="Q31" t="n">
        <v>0.000056880846</v>
      </c>
      <c r="R31" t="n">
        <v>0.000367105263157895</v>
      </c>
      <c r="S31" t="n">
        <v>0.00119654427645788</v>
      </c>
      <c r="T31" t="n">
        <v>0</v>
      </c>
      <c r="U31" t="n">
        <v>0</v>
      </c>
    </row>
    <row r="32">
      <c r="A32" t="s">
        <v>180</v>
      </c>
      <c r="B32" t="s">
        <v>167</v>
      </c>
      <c r="C32" t="n">
        <v>60.520207</v>
      </c>
      <c r="D32" t="n">
        <v>0</v>
      </c>
      <c r="E32" t="n">
        <v>52.284917</v>
      </c>
      <c r="F32" t="n">
        <v>-6.268053</v>
      </c>
      <c r="G32" t="n">
        <v>0</v>
      </c>
      <c r="H32" t="n">
        <v>0.300544</v>
      </c>
      <c r="I32" t="n">
        <v>1.666694</v>
      </c>
      <c r="J32" t="n">
        <v>0</v>
      </c>
      <c r="K32" t="n">
        <v>0</v>
      </c>
      <c r="L32" t="n">
        <v>0.00016428</v>
      </c>
      <c r="M32" t="n">
        <v>0</v>
      </c>
      <c r="N32" t="n">
        <v>0.693888</v>
      </c>
      <c r="O32" t="n">
        <v>0.01548064128</v>
      </c>
      <c r="P32" t="n">
        <v>0.972806</v>
      </c>
      <c r="Q32" t="n">
        <v>0.198329850444</v>
      </c>
      <c r="R32" t="n">
        <v>1.28000789473684</v>
      </c>
      <c r="S32" t="n">
        <v>0.99911879049676</v>
      </c>
      <c r="T32" t="n">
        <v>0</v>
      </c>
      <c r="U32" t="n">
        <v>0</v>
      </c>
    </row>
    <row r="33">
      <c r="A33" t="s">
        <v>180</v>
      </c>
      <c r="B33" t="s">
        <v>168</v>
      </c>
      <c r="C33" t="n">
        <v>147.396254</v>
      </c>
      <c r="D33" t="n">
        <v>0</v>
      </c>
      <c r="E33" t="n">
        <v>123.891031</v>
      </c>
      <c r="F33" t="n">
        <v>-3.449011</v>
      </c>
      <c r="G33" t="n">
        <v>0</v>
      </c>
      <c r="H33" t="n">
        <v>0.776344</v>
      </c>
      <c r="I33" t="n">
        <v>19.279097</v>
      </c>
      <c r="J33" t="n">
        <v>0</v>
      </c>
      <c r="K33" t="n">
        <v>0</v>
      </c>
      <c r="L33" t="n">
        <v>0.00017694</v>
      </c>
      <c r="M33" t="n">
        <v>0</v>
      </c>
      <c r="N33" t="n">
        <v>17.246211</v>
      </c>
      <c r="O33" t="n">
        <v>0.38476296741</v>
      </c>
      <c r="P33" t="n">
        <v>2.032886</v>
      </c>
      <c r="Q33" t="n">
        <v>0.414452600364</v>
      </c>
      <c r="R33" t="n">
        <v>2.67485</v>
      </c>
      <c r="S33" t="n">
        <v>24.8325572354212</v>
      </c>
      <c r="T33" t="n">
        <v>1.703942</v>
      </c>
      <c r="U33" t="n">
        <v>-1.704701</v>
      </c>
    </row>
    <row r="34">
      <c r="A34" t="s">
        <v>182</v>
      </c>
      <c r="B34" t="s">
        <v>153</v>
      </c>
      <c r="C34" t="n">
        <v>34.345747</v>
      </c>
      <c r="D34" t="n">
        <v>0</v>
      </c>
      <c r="E34" t="n">
        <v>1.725424</v>
      </c>
      <c r="F34" t="n">
        <v>-4.733257</v>
      </c>
      <c r="G34" t="n">
        <v>27.639961</v>
      </c>
      <c r="H34" t="n">
        <v>0</v>
      </c>
      <c r="I34" t="n">
        <v>0.247105</v>
      </c>
      <c r="J34" t="n">
        <v>0</v>
      </c>
      <c r="K34" t="n">
        <v>0</v>
      </c>
      <c r="L34" t="n">
        <v>-0.00005073</v>
      </c>
      <c r="M34" t="n">
        <v>0</v>
      </c>
      <c r="N34" t="n">
        <v>0.177018</v>
      </c>
      <c r="O34" t="n">
        <v>0.00394927158</v>
      </c>
      <c r="P34" t="n">
        <v>0.070087</v>
      </c>
      <c r="Q34" t="n">
        <v>0.014288917038</v>
      </c>
      <c r="R34" t="n">
        <v>0.0922197368421053</v>
      </c>
      <c r="S34" t="n">
        <v>0.254885529157667</v>
      </c>
      <c r="T34" t="n">
        <v>0</v>
      </c>
      <c r="U34" t="n">
        <v>0</v>
      </c>
    </row>
    <row r="35">
      <c r="A35" t="s">
        <v>182</v>
      </c>
      <c r="B35" t="s">
        <v>154</v>
      </c>
      <c r="C35" t="n">
        <v>69.788366</v>
      </c>
      <c r="D35" t="n">
        <v>0</v>
      </c>
      <c r="E35" t="n">
        <v>5.480626</v>
      </c>
      <c r="F35" t="n">
        <v>13.669397</v>
      </c>
      <c r="G35" t="n">
        <v>0</v>
      </c>
      <c r="H35" t="n">
        <v>0</v>
      </c>
      <c r="I35" t="n">
        <v>77.977137</v>
      </c>
      <c r="J35" t="n">
        <v>0</v>
      </c>
      <c r="K35" t="n">
        <v>0</v>
      </c>
      <c r="L35" t="n">
        <v>0.00009907</v>
      </c>
      <c r="M35" t="n">
        <v>71.593914</v>
      </c>
      <c r="N35" t="n">
        <v>5.79372</v>
      </c>
      <c r="O35" t="n">
        <v>0.1292578932</v>
      </c>
      <c r="P35" t="n">
        <v>0.589502</v>
      </c>
      <c r="Q35" t="n">
        <v>0.120184130748</v>
      </c>
      <c r="R35" t="n">
        <v>0.775660526315789</v>
      </c>
      <c r="S35" t="n">
        <v>8.34228941684665</v>
      </c>
      <c r="T35" t="n">
        <v>0</v>
      </c>
      <c r="U35" t="n">
        <v>0</v>
      </c>
    </row>
    <row r="36">
      <c r="A36" t="s">
        <v>182</v>
      </c>
      <c r="B36" t="s">
        <v>155</v>
      </c>
      <c r="C36" t="n">
        <v>0</v>
      </c>
      <c r="D36" t="n">
        <v>0</v>
      </c>
      <c r="E36" t="n">
        <v>0.099259</v>
      </c>
      <c r="F36" t="n">
        <v>0.099259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-0.00008072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182</v>
      </c>
      <c r="B37" t="s">
        <v>156</v>
      </c>
      <c r="C37" t="n">
        <v>38.943759</v>
      </c>
      <c r="D37" t="n">
        <v>0</v>
      </c>
      <c r="E37" t="n">
        <v>2.57305</v>
      </c>
      <c r="F37" t="n">
        <v>14.483719</v>
      </c>
      <c r="G37" t="n">
        <v>48.680135</v>
      </c>
      <c r="H37" t="n">
        <v>0</v>
      </c>
      <c r="I37" t="n">
        <v>2.174294</v>
      </c>
      <c r="J37" t="n">
        <v>0</v>
      </c>
      <c r="K37" t="n">
        <v>0</v>
      </c>
      <c r="L37" t="n">
        <v>0.00015698</v>
      </c>
      <c r="M37" t="n">
        <v>0</v>
      </c>
      <c r="N37" t="n">
        <v>0.917343</v>
      </c>
      <c r="O37" t="n">
        <v>0.02046592233</v>
      </c>
      <c r="P37" t="n">
        <v>1.256951</v>
      </c>
      <c r="Q37" t="n">
        <v>0.256259628174</v>
      </c>
      <c r="R37" t="n">
        <v>1.65388289473684</v>
      </c>
      <c r="S37" t="n">
        <v>1.32086825053996</v>
      </c>
      <c r="T37" t="n">
        <v>0</v>
      </c>
      <c r="U37" t="n">
        <v>0</v>
      </c>
    </row>
    <row r="38">
      <c r="A38" t="s">
        <v>182</v>
      </c>
      <c r="B38" t="s">
        <v>157</v>
      </c>
      <c r="C38" t="n">
        <v>431.596502</v>
      </c>
      <c r="D38" t="n">
        <v>0</v>
      </c>
      <c r="E38" t="n">
        <v>147.615389</v>
      </c>
      <c r="F38" t="n">
        <v>-107.577788</v>
      </c>
      <c r="G38" t="n">
        <v>0</v>
      </c>
      <c r="H38" t="n">
        <v>0.594088</v>
      </c>
      <c r="I38" t="n">
        <v>175.805456</v>
      </c>
      <c r="J38" t="n">
        <v>0</v>
      </c>
      <c r="K38" t="n">
        <v>0</v>
      </c>
      <c r="L38" t="n">
        <v>0.00015699</v>
      </c>
      <c r="M38" t="n">
        <v>147.93731</v>
      </c>
      <c r="N38" t="n">
        <v>25.358258</v>
      </c>
      <c r="O38" t="n">
        <v>0.56574273598</v>
      </c>
      <c r="P38" t="n">
        <v>2.509887</v>
      </c>
      <c r="Q38" t="n">
        <v>0.511700702238</v>
      </c>
      <c r="R38" t="n">
        <v>3.30248289473684</v>
      </c>
      <c r="S38" t="n">
        <v>36.5129704823614</v>
      </c>
      <c r="T38" t="n">
        <v>2.584602</v>
      </c>
      <c r="U38" t="n">
        <v>-2.588391</v>
      </c>
    </row>
    <row r="39">
      <c r="A39" t="s">
        <v>182</v>
      </c>
      <c r="B39" t="s">
        <v>158</v>
      </c>
      <c r="C39" t="n">
        <v>26.109425</v>
      </c>
      <c r="D39" t="n">
        <v>0</v>
      </c>
      <c r="E39" t="n">
        <v>39.329383</v>
      </c>
      <c r="F39" t="n">
        <v>12.921259</v>
      </c>
      <c r="G39" t="n">
        <v>0</v>
      </c>
      <c r="H39" t="n">
        <v>0.33176</v>
      </c>
      <c r="I39" t="n">
        <v>0</v>
      </c>
      <c r="J39" t="n">
        <v>0</v>
      </c>
      <c r="K39" t="n">
        <v>0</v>
      </c>
      <c r="L39" t="n">
        <v>0.00012503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0.766835</v>
      </c>
      <c r="U39" t="n">
        <v>-0.136262</v>
      </c>
    </row>
    <row r="40">
      <c r="A40" t="s">
        <v>182</v>
      </c>
      <c r="B40" t="s">
        <v>159</v>
      </c>
      <c r="C40" t="n">
        <v>51.856896</v>
      </c>
      <c r="D40" t="n">
        <v>0</v>
      </c>
      <c r="E40" t="n">
        <v>46.662858</v>
      </c>
      <c r="F40" t="n">
        <v>79.161768</v>
      </c>
      <c r="G40" t="n">
        <v>0</v>
      </c>
      <c r="H40" t="n">
        <v>0</v>
      </c>
      <c r="I40" t="n">
        <v>84.349982</v>
      </c>
      <c r="J40" t="n">
        <v>0</v>
      </c>
      <c r="K40" t="n">
        <v>0</v>
      </c>
      <c r="L40" t="n">
        <v>-0.00003587</v>
      </c>
      <c r="M40" t="n">
        <v>84.349003</v>
      </c>
      <c r="N40" t="n">
        <v>0.000767</v>
      </c>
      <c r="O40" t="n">
        <v>0.00001711177</v>
      </c>
      <c r="P40" t="n">
        <v>0.000212</v>
      </c>
      <c r="Q40" t="n">
        <v>0.000043221288</v>
      </c>
      <c r="R40" t="n">
        <v>0.000278947368421053</v>
      </c>
      <c r="S40" t="n">
        <v>0.00110439164866811</v>
      </c>
      <c r="T40" t="n">
        <v>8.378332</v>
      </c>
      <c r="U40" t="n">
        <v>-8.384168</v>
      </c>
    </row>
    <row r="41">
      <c r="A41" t="s">
        <v>182</v>
      </c>
      <c r="B41" t="s">
        <v>160</v>
      </c>
      <c r="C41" t="n">
        <v>72.382886</v>
      </c>
      <c r="D41" t="n">
        <v>0</v>
      </c>
      <c r="E41" t="n">
        <v>102.582968</v>
      </c>
      <c r="F41" t="n">
        <v>32.436687</v>
      </c>
      <c r="G41" t="n">
        <v>0</v>
      </c>
      <c r="H41" t="n">
        <v>0.431269</v>
      </c>
      <c r="I41" t="n">
        <v>1.805336</v>
      </c>
      <c r="J41" t="n">
        <v>0</v>
      </c>
      <c r="K41" t="n">
        <v>0</v>
      </c>
      <c r="L41" t="n">
        <v>0.00015702</v>
      </c>
      <c r="M41" t="n">
        <v>0</v>
      </c>
      <c r="N41" t="n">
        <v>0.786524</v>
      </c>
      <c r="O41" t="n">
        <v>0.01754735044</v>
      </c>
      <c r="P41" t="n">
        <v>1.018812</v>
      </c>
      <c r="Q41" t="n">
        <v>0.207709277688</v>
      </c>
      <c r="R41" t="n">
        <v>1.34054210526316</v>
      </c>
      <c r="S41" t="n">
        <v>1.13250395968323</v>
      </c>
      <c r="T41" t="n">
        <v>0</v>
      </c>
      <c r="U41" t="n">
        <v>0</v>
      </c>
    </row>
    <row r="42">
      <c r="A42" t="s">
        <v>182</v>
      </c>
      <c r="B42" t="s">
        <v>161</v>
      </c>
      <c r="C42" t="n">
        <v>141.397426</v>
      </c>
      <c r="D42" t="n">
        <v>0</v>
      </c>
      <c r="E42" t="n">
        <v>72.081329</v>
      </c>
      <c r="F42" t="n">
        <v>-53.303449</v>
      </c>
      <c r="G42" t="n">
        <v>0</v>
      </c>
      <c r="H42" t="n">
        <v>0</v>
      </c>
      <c r="I42" t="n">
        <v>15.98658</v>
      </c>
      <c r="J42" t="n">
        <v>0</v>
      </c>
      <c r="K42" t="n">
        <v>0</v>
      </c>
      <c r="L42" t="n">
        <v>0.00009907</v>
      </c>
      <c r="M42" t="n">
        <v>8.841489</v>
      </c>
      <c r="N42" t="n">
        <v>6.472234</v>
      </c>
      <c r="O42" t="n">
        <v>0.14439554054</v>
      </c>
      <c r="P42" t="n">
        <v>0.672857</v>
      </c>
      <c r="Q42" t="n">
        <v>0.137178048018</v>
      </c>
      <c r="R42" t="n">
        <v>0.885338157894737</v>
      </c>
      <c r="S42" t="n">
        <v>9.31927141828654</v>
      </c>
      <c r="T42" t="n">
        <v>0.765829</v>
      </c>
      <c r="U42" t="n">
        <v>-0.791593</v>
      </c>
    </row>
    <row r="43">
      <c r="A43" t="s">
        <v>182</v>
      </c>
      <c r="B43" t="s">
        <v>162</v>
      </c>
      <c r="C43" t="n">
        <v>12.169275</v>
      </c>
      <c r="D43" t="n">
        <v>0</v>
      </c>
      <c r="E43" t="n">
        <v>12.16648</v>
      </c>
      <c r="F43" t="n">
        <v>0</v>
      </c>
      <c r="G43" t="n">
        <v>0</v>
      </c>
      <c r="H43" t="n">
        <v>0.002795</v>
      </c>
      <c r="I43" t="n">
        <v>0</v>
      </c>
      <c r="J43" t="n">
        <v>0</v>
      </c>
      <c r="K43" t="n">
        <v>0</v>
      </c>
      <c r="L43" t="n">
        <v>-0.00000078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182</v>
      </c>
      <c r="B44" t="s">
        <v>163</v>
      </c>
      <c r="C44" t="n">
        <v>109.358686</v>
      </c>
      <c r="D44" t="n">
        <v>2.536861</v>
      </c>
      <c r="E44" t="n">
        <v>4.301192</v>
      </c>
      <c r="F44" t="n">
        <v>59.149727</v>
      </c>
      <c r="G44" t="n">
        <v>0</v>
      </c>
      <c r="H44" t="n">
        <v>0</v>
      </c>
      <c r="I44" t="n">
        <v>169.477596</v>
      </c>
      <c r="J44" t="n">
        <v>0</v>
      </c>
      <c r="K44" t="n">
        <v>0</v>
      </c>
      <c r="L44" t="n">
        <v>-0.00008072</v>
      </c>
      <c r="M44" t="n">
        <v>169.477596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5.559686</v>
      </c>
      <c r="U44" t="n">
        <v>-2.826197</v>
      </c>
    </row>
    <row r="45">
      <c r="A45" t="s">
        <v>182</v>
      </c>
      <c r="B45" t="s">
        <v>164</v>
      </c>
      <c r="C45" t="n">
        <v>96.496577</v>
      </c>
      <c r="D45" t="n">
        <v>0</v>
      </c>
      <c r="E45" t="n">
        <v>118.080341</v>
      </c>
      <c r="F45" t="n">
        <v>50.210243</v>
      </c>
      <c r="G45" t="n">
        <v>0</v>
      </c>
      <c r="H45" t="n">
        <v>0</v>
      </c>
      <c r="I45" t="n">
        <v>28.626479</v>
      </c>
      <c r="J45" t="n">
        <v>0</v>
      </c>
      <c r="K45" t="n">
        <v>0</v>
      </c>
      <c r="L45" t="n">
        <v>0.0001435</v>
      </c>
      <c r="M45" t="n">
        <v>10.289514</v>
      </c>
      <c r="N45" t="n">
        <v>16.591521</v>
      </c>
      <c r="O45" t="n">
        <v>0.37015683351</v>
      </c>
      <c r="P45" t="n">
        <v>1.745444</v>
      </c>
      <c r="Q45" t="n">
        <v>0.355850650056</v>
      </c>
      <c r="R45" t="n">
        <v>2.29663684210526</v>
      </c>
      <c r="S45" t="n">
        <v>23.889879049676</v>
      </c>
      <c r="T45" t="n">
        <v>5.38658</v>
      </c>
      <c r="U45" t="n">
        <v>-5.386555</v>
      </c>
    </row>
    <row r="46">
      <c r="A46" t="s">
        <v>182</v>
      </c>
      <c r="B46" t="s">
        <v>165</v>
      </c>
      <c r="C46" t="n">
        <v>112.875693</v>
      </c>
      <c r="D46" t="n">
        <v>0</v>
      </c>
      <c r="E46" t="n">
        <v>9.584197</v>
      </c>
      <c r="F46" t="n">
        <v>-91.184363</v>
      </c>
      <c r="G46" t="n">
        <v>0</v>
      </c>
      <c r="H46" t="n">
        <v>0.821914</v>
      </c>
      <c r="I46" t="n">
        <v>10.652097</v>
      </c>
      <c r="J46" t="n">
        <v>0</v>
      </c>
      <c r="K46" t="n">
        <v>0</v>
      </c>
      <c r="L46" t="n">
        <v>0.00015836</v>
      </c>
      <c r="M46" t="n">
        <v>0</v>
      </c>
      <c r="N46" t="n">
        <v>4.688314</v>
      </c>
      <c r="O46" t="n">
        <v>0.10459628534</v>
      </c>
      <c r="P46" t="n">
        <v>5.963783</v>
      </c>
      <c r="Q46" t="n">
        <v>1.215860295342</v>
      </c>
      <c r="R46" t="n">
        <v>7.84708289473684</v>
      </c>
      <c r="S46" t="n">
        <v>6.75063210943125</v>
      </c>
      <c r="T46" t="n">
        <v>0</v>
      </c>
      <c r="U46" t="n">
        <v>0</v>
      </c>
    </row>
    <row r="47">
      <c r="A47" t="s">
        <v>182</v>
      </c>
      <c r="B47" t="s">
        <v>166</v>
      </c>
      <c r="C47" t="n">
        <v>16.65749</v>
      </c>
      <c r="D47" t="n">
        <v>0</v>
      </c>
      <c r="E47" t="n">
        <v>15.787951</v>
      </c>
      <c r="F47" t="n">
        <v>-0.868828</v>
      </c>
      <c r="G47" t="n">
        <v>0</v>
      </c>
      <c r="H47" t="n">
        <v>0</v>
      </c>
      <c r="I47" t="n">
        <v>0.000711</v>
      </c>
      <c r="J47" t="n">
        <v>0</v>
      </c>
      <c r="K47" t="n">
        <v>0</v>
      </c>
      <c r="L47" t="n">
        <v>-0.00003589</v>
      </c>
      <c r="M47" t="n">
        <v>0</v>
      </c>
      <c r="N47" t="n">
        <v>0.000671</v>
      </c>
      <c r="O47" t="n">
        <v>0.00001497001</v>
      </c>
      <c r="P47" t="n">
        <v>0.00004</v>
      </c>
      <c r="Q47" t="n">
        <v>0.00000815496</v>
      </c>
      <c r="R47" t="n">
        <v>0.0000526315789473684</v>
      </c>
      <c r="S47" t="n">
        <v>0.000966162706983441</v>
      </c>
      <c r="T47" t="n">
        <v>0</v>
      </c>
      <c r="U47" t="n">
        <v>0</v>
      </c>
    </row>
    <row r="48">
      <c r="A48" t="s">
        <v>182</v>
      </c>
      <c r="B48" t="s">
        <v>167</v>
      </c>
      <c r="C48" t="n">
        <v>60.520207</v>
      </c>
      <c r="D48" t="n">
        <v>0</v>
      </c>
      <c r="E48" t="n">
        <v>54.157357</v>
      </c>
      <c r="F48" t="n">
        <v>-4.524691</v>
      </c>
      <c r="G48" t="n">
        <v>0</v>
      </c>
      <c r="H48" t="n">
        <v>0.313468</v>
      </c>
      <c r="I48" t="n">
        <v>1.524691</v>
      </c>
      <c r="J48" t="n">
        <v>0</v>
      </c>
      <c r="K48" t="n">
        <v>0</v>
      </c>
      <c r="L48" t="n">
        <v>0.00015702</v>
      </c>
      <c r="M48" t="n">
        <v>0</v>
      </c>
      <c r="N48" t="n">
        <v>0.666981</v>
      </c>
      <c r="O48" t="n">
        <v>0.01488034611</v>
      </c>
      <c r="P48" t="n">
        <v>0.857711</v>
      </c>
      <c r="Q48" t="n">
        <v>0.174864972414</v>
      </c>
      <c r="R48" t="n">
        <v>1.12856710526316</v>
      </c>
      <c r="S48" t="n">
        <v>0.960375809935205</v>
      </c>
      <c r="T48" t="n">
        <v>0</v>
      </c>
      <c r="U48" t="n">
        <v>0</v>
      </c>
    </row>
    <row r="49">
      <c r="A49" t="s">
        <v>182</v>
      </c>
      <c r="B49" t="s">
        <v>168</v>
      </c>
      <c r="C49" t="n">
        <v>147.396254</v>
      </c>
      <c r="D49" t="n">
        <v>0</v>
      </c>
      <c r="E49" t="n">
        <v>128.633703</v>
      </c>
      <c r="F49" t="n">
        <v>0.060315</v>
      </c>
      <c r="G49" t="n">
        <v>0</v>
      </c>
      <c r="H49" t="n">
        <v>0.791579</v>
      </c>
      <c r="I49" t="n">
        <v>18.027862</v>
      </c>
      <c r="J49" t="n">
        <v>0</v>
      </c>
      <c r="K49" t="n">
        <v>0</v>
      </c>
      <c r="L49" t="n">
        <v>0.00017516</v>
      </c>
      <c r="M49" t="n">
        <v>0</v>
      </c>
      <c r="N49" t="n">
        <v>16.302486</v>
      </c>
      <c r="O49" t="n">
        <v>0.36370846266</v>
      </c>
      <c r="P49" t="n">
        <v>1.725377</v>
      </c>
      <c r="Q49" t="n">
        <v>0.351759510498</v>
      </c>
      <c r="R49" t="n">
        <v>2.27023289473684</v>
      </c>
      <c r="S49" t="n">
        <v>23.4737019438445</v>
      </c>
      <c r="T49" t="n">
        <v>1.804569</v>
      </c>
      <c r="U49" t="n">
        <v>-1.807997</v>
      </c>
    </row>
    <row r="50">
      <c r="A50" t="s">
        <v>183</v>
      </c>
      <c r="B50" t="s">
        <v>153</v>
      </c>
      <c r="C50" t="n">
        <v>34.345747</v>
      </c>
      <c r="D50" t="n">
        <v>0</v>
      </c>
      <c r="E50" t="n">
        <v>1.887664</v>
      </c>
      <c r="F50" t="n">
        <v>-4.628771</v>
      </c>
      <c r="G50" t="n">
        <v>27.639961</v>
      </c>
      <c r="H50" t="n">
        <v>0</v>
      </c>
      <c r="I50" t="n">
        <v>0.189351</v>
      </c>
      <c r="J50" t="n">
        <v>0</v>
      </c>
      <c r="K50" t="n">
        <v>0</v>
      </c>
      <c r="L50" t="n">
        <v>-0.00005858</v>
      </c>
      <c r="M50" t="n">
        <v>0</v>
      </c>
      <c r="N50" t="n">
        <v>0.156614</v>
      </c>
      <c r="O50" t="n">
        <v>0.00349405834</v>
      </c>
      <c r="P50" t="n">
        <v>0.032737</v>
      </c>
      <c r="Q50" t="n">
        <v>0.006674223138</v>
      </c>
      <c r="R50" t="n">
        <v>0.043075</v>
      </c>
      <c r="S50" t="n">
        <v>0.225506119510439</v>
      </c>
      <c r="T50" t="n">
        <v>0</v>
      </c>
      <c r="U50" t="n">
        <v>0</v>
      </c>
    </row>
    <row r="51">
      <c r="A51" t="s">
        <v>183</v>
      </c>
      <c r="B51" t="s">
        <v>154</v>
      </c>
      <c r="C51" t="n">
        <v>69.788366</v>
      </c>
      <c r="D51" t="n">
        <v>0</v>
      </c>
      <c r="E51" t="n">
        <v>6.354408</v>
      </c>
      <c r="F51" t="n">
        <v>7.60695</v>
      </c>
      <c r="G51" t="n">
        <v>0</v>
      </c>
      <c r="H51" t="n">
        <v>0</v>
      </c>
      <c r="I51" t="n">
        <v>71.040908</v>
      </c>
      <c r="J51" t="n">
        <v>0</v>
      </c>
      <c r="K51" t="n">
        <v>0</v>
      </c>
      <c r="L51" t="n">
        <v>0.00008611</v>
      </c>
      <c r="M51" t="n">
        <v>65.447624</v>
      </c>
      <c r="N51" t="n">
        <v>5.298797</v>
      </c>
      <c r="O51" t="n">
        <v>0.11821616107</v>
      </c>
      <c r="P51" t="n">
        <v>0.294488</v>
      </c>
      <c r="Q51" t="n">
        <v>0.060038446512</v>
      </c>
      <c r="R51" t="n">
        <v>0.387484210526316</v>
      </c>
      <c r="S51" t="n">
        <v>7.62965730741541</v>
      </c>
      <c r="T51" t="n">
        <v>0</v>
      </c>
      <c r="U51" t="n">
        <v>0</v>
      </c>
    </row>
    <row r="52">
      <c r="A52" t="s">
        <v>183</v>
      </c>
      <c r="B52" t="s">
        <v>155</v>
      </c>
      <c r="C52" t="n">
        <v>0</v>
      </c>
      <c r="D52" t="n">
        <v>0</v>
      </c>
      <c r="E52" t="n">
        <v>0.123605</v>
      </c>
      <c r="F52" t="n">
        <v>0.123605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-0.00008627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183</v>
      </c>
      <c r="B53" t="s">
        <v>156</v>
      </c>
      <c r="C53" t="n">
        <v>38.943759</v>
      </c>
      <c r="D53" t="n">
        <v>0</v>
      </c>
      <c r="E53" t="n">
        <v>3.722194</v>
      </c>
      <c r="F53" t="n">
        <v>14.914874</v>
      </c>
      <c r="G53" t="n">
        <v>48.680135</v>
      </c>
      <c r="H53" t="n">
        <v>0</v>
      </c>
      <c r="I53" t="n">
        <v>1.456305</v>
      </c>
      <c r="J53" t="n">
        <v>0</v>
      </c>
      <c r="K53" t="n">
        <v>0</v>
      </c>
      <c r="L53" t="n">
        <v>0.00014338</v>
      </c>
      <c r="M53" t="n">
        <v>0</v>
      </c>
      <c r="N53" t="n">
        <v>0.832771</v>
      </c>
      <c r="O53" t="n">
        <v>0.01857912101</v>
      </c>
      <c r="P53" t="n">
        <v>0.623533</v>
      </c>
      <c r="Q53" t="n">
        <v>0.127122166842</v>
      </c>
      <c r="R53" t="n">
        <v>0.820438157894737</v>
      </c>
      <c r="S53" t="n">
        <v>1.199094312455</v>
      </c>
      <c r="T53" t="n">
        <v>0</v>
      </c>
      <c r="U53" t="n">
        <v>0</v>
      </c>
    </row>
    <row r="54">
      <c r="A54" t="s">
        <v>183</v>
      </c>
      <c r="B54" t="s">
        <v>157</v>
      </c>
      <c r="C54" t="n">
        <v>431.596502</v>
      </c>
      <c r="D54" t="n">
        <v>0</v>
      </c>
      <c r="E54" t="n">
        <v>160.671119</v>
      </c>
      <c r="F54" t="n">
        <v>-110.684492</v>
      </c>
      <c r="G54" t="n">
        <v>0</v>
      </c>
      <c r="H54" t="n">
        <v>0.593002</v>
      </c>
      <c r="I54" t="n">
        <v>159.644341</v>
      </c>
      <c r="J54" t="n">
        <v>0</v>
      </c>
      <c r="K54" t="n">
        <v>0</v>
      </c>
      <c r="L54" t="n">
        <v>0.00014339</v>
      </c>
      <c r="M54" t="n">
        <v>135.304812</v>
      </c>
      <c r="N54" t="n">
        <v>23.082704</v>
      </c>
      <c r="O54" t="n">
        <v>0.51497512624</v>
      </c>
      <c r="P54" t="n">
        <v>1.256825</v>
      </c>
      <c r="Q54" t="n">
        <v>0.25623394005</v>
      </c>
      <c r="R54" t="n">
        <v>1.65371710526316</v>
      </c>
      <c r="S54" t="n">
        <v>33.2364348452124</v>
      </c>
      <c r="T54" t="n">
        <v>2.746428</v>
      </c>
      <c r="U54" t="n">
        <v>-2.749989</v>
      </c>
    </row>
    <row r="55">
      <c r="A55" t="s">
        <v>183</v>
      </c>
      <c r="B55" t="s">
        <v>158</v>
      </c>
      <c r="C55" t="n">
        <v>26.109425</v>
      </c>
      <c r="D55" t="n">
        <v>0</v>
      </c>
      <c r="E55" t="n">
        <v>39.949154</v>
      </c>
      <c r="F55" t="n">
        <v>13.526142</v>
      </c>
      <c r="G55" t="n">
        <v>0</v>
      </c>
      <c r="H55" t="n">
        <v>0.330563</v>
      </c>
      <c r="I55" t="n">
        <v>0</v>
      </c>
      <c r="J55" t="n">
        <v>0</v>
      </c>
      <c r="K55" t="n">
        <v>0</v>
      </c>
      <c r="L55" t="n">
        <v>0.0001015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0.777212</v>
      </c>
      <c r="U55" t="n">
        <v>-0.132949</v>
      </c>
    </row>
    <row r="56">
      <c r="A56" t="s">
        <v>183</v>
      </c>
      <c r="B56" t="s">
        <v>159</v>
      </c>
      <c r="C56" t="n">
        <v>51.856896</v>
      </c>
      <c r="D56" t="n">
        <v>0</v>
      </c>
      <c r="E56" t="n">
        <v>46.888466</v>
      </c>
      <c r="F56" t="n">
        <v>79.005506</v>
      </c>
      <c r="G56" t="n">
        <v>0</v>
      </c>
      <c r="H56" t="n">
        <v>0</v>
      </c>
      <c r="I56" t="n">
        <v>83.968112</v>
      </c>
      <c r="J56" t="n">
        <v>0</v>
      </c>
      <c r="K56" t="n">
        <v>0</v>
      </c>
      <c r="L56" t="n">
        <v>-0.00006061</v>
      </c>
      <c r="M56" t="n">
        <v>83.968004</v>
      </c>
      <c r="N56" t="n">
        <v>0.000108</v>
      </c>
      <c r="O56" t="n">
        <v>0.00000240948</v>
      </c>
      <c r="P56" t="n">
        <v>0</v>
      </c>
      <c r="Q56" t="n">
        <v>0</v>
      </c>
      <c r="R56" t="n">
        <v>0</v>
      </c>
      <c r="S56" t="n">
        <v>0.000155507559395248</v>
      </c>
      <c r="T56" t="n">
        <v>8.374488</v>
      </c>
      <c r="U56" t="n">
        <v>-8.380327</v>
      </c>
    </row>
    <row r="57">
      <c r="A57" t="s">
        <v>183</v>
      </c>
      <c r="B57" t="s">
        <v>160</v>
      </c>
      <c r="C57" t="n">
        <v>72.382886</v>
      </c>
      <c r="D57" t="n">
        <v>0</v>
      </c>
      <c r="E57" t="n">
        <v>103.214297</v>
      </c>
      <c r="F57" t="n">
        <v>32.494158</v>
      </c>
      <c r="G57" t="n">
        <v>0</v>
      </c>
      <c r="H57" t="n">
        <v>0.430876</v>
      </c>
      <c r="I57" t="n">
        <v>1.231871</v>
      </c>
      <c r="J57" t="n">
        <v>0</v>
      </c>
      <c r="K57" t="n">
        <v>0</v>
      </c>
      <c r="L57" t="n">
        <v>0.00014342</v>
      </c>
      <c r="M57" t="n">
        <v>0</v>
      </c>
      <c r="N57" t="n">
        <v>0.717133</v>
      </c>
      <c r="O57" t="n">
        <v>0.01599923723</v>
      </c>
      <c r="P57" t="n">
        <v>0.514738</v>
      </c>
      <c r="Q57" t="n">
        <v>0.104941695012</v>
      </c>
      <c r="R57" t="n">
        <v>0.677286842105263</v>
      </c>
      <c r="S57" t="n">
        <v>1.03258891288697</v>
      </c>
      <c r="T57" t="n">
        <v>0</v>
      </c>
      <c r="U57" t="n">
        <v>0</v>
      </c>
    </row>
    <row r="58">
      <c r="A58" t="s">
        <v>183</v>
      </c>
      <c r="B58" t="s">
        <v>161</v>
      </c>
      <c r="C58" t="n">
        <v>141.397426</v>
      </c>
      <c r="D58" t="n">
        <v>0</v>
      </c>
      <c r="E58" t="n">
        <v>76.157183</v>
      </c>
      <c r="F58" t="n">
        <v>-51.122931</v>
      </c>
      <c r="G58" t="n">
        <v>0</v>
      </c>
      <c r="H58" t="n">
        <v>0</v>
      </c>
      <c r="I58" t="n">
        <v>14.091243</v>
      </c>
      <c r="J58" t="n">
        <v>0</v>
      </c>
      <c r="K58" t="n">
        <v>0</v>
      </c>
      <c r="L58" t="n">
        <v>0.00008611</v>
      </c>
      <c r="M58" t="n">
        <v>7.871236</v>
      </c>
      <c r="N58" t="n">
        <v>5.886427</v>
      </c>
      <c r="O58" t="n">
        <v>0.13132618637</v>
      </c>
      <c r="P58" t="n">
        <v>0.333581</v>
      </c>
      <c r="Q58" t="n">
        <v>0.068008492794</v>
      </c>
      <c r="R58" t="n">
        <v>0.438922368421053</v>
      </c>
      <c r="S58" t="n">
        <v>8.47577681785457</v>
      </c>
      <c r="T58" t="n">
        <v>0.894307</v>
      </c>
      <c r="U58" t="n">
        <v>-0.919561</v>
      </c>
    </row>
    <row r="59">
      <c r="A59" t="s">
        <v>183</v>
      </c>
      <c r="B59" t="s">
        <v>162</v>
      </c>
      <c r="C59" t="n">
        <v>12.169275</v>
      </c>
      <c r="D59" t="n">
        <v>0</v>
      </c>
      <c r="E59" t="n">
        <v>12.166494</v>
      </c>
      <c r="F59" t="n">
        <v>0</v>
      </c>
      <c r="G59" t="n">
        <v>0</v>
      </c>
      <c r="H59" t="n">
        <v>0.002781</v>
      </c>
      <c r="I59" t="n">
        <v>0</v>
      </c>
      <c r="J59" t="n">
        <v>0</v>
      </c>
      <c r="K59" t="n">
        <v>0</v>
      </c>
      <c r="L59" t="n">
        <v>-0.00002929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s">
        <v>183</v>
      </c>
      <c r="B60" t="s">
        <v>163</v>
      </c>
      <c r="C60" t="n">
        <v>109.358686</v>
      </c>
      <c r="D60" t="n">
        <v>2.582637</v>
      </c>
      <c r="E60" t="n">
        <v>4.548644</v>
      </c>
      <c r="F60" t="n">
        <v>59.023932</v>
      </c>
      <c r="G60" t="n">
        <v>0</v>
      </c>
      <c r="H60" t="n">
        <v>0</v>
      </c>
      <c r="I60" t="n">
        <v>169.194424</v>
      </c>
      <c r="J60" t="n">
        <v>0</v>
      </c>
      <c r="K60" t="n">
        <v>0</v>
      </c>
      <c r="L60" t="n">
        <v>-0.00008627</v>
      </c>
      <c r="M60" t="n">
        <v>169.194424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5.529809</v>
      </c>
      <c r="U60" t="n">
        <v>-2.752005</v>
      </c>
    </row>
    <row r="61">
      <c r="A61" t="s">
        <v>183</v>
      </c>
      <c r="B61" t="s">
        <v>164</v>
      </c>
      <c r="C61" t="n">
        <v>96.496577</v>
      </c>
      <c r="D61" t="n">
        <v>0</v>
      </c>
      <c r="E61" t="n">
        <v>126.827802</v>
      </c>
      <c r="F61" t="n">
        <v>55.648684</v>
      </c>
      <c r="G61" t="n">
        <v>0</v>
      </c>
      <c r="H61" t="n">
        <v>0</v>
      </c>
      <c r="I61" t="n">
        <v>25.317459</v>
      </c>
      <c r="J61" t="n">
        <v>0</v>
      </c>
      <c r="K61" t="n">
        <v>0</v>
      </c>
      <c r="L61" t="n">
        <v>0.00012979</v>
      </c>
      <c r="M61" t="n">
        <v>9.371121</v>
      </c>
      <c r="N61" t="n">
        <v>15.08961</v>
      </c>
      <c r="O61" t="n">
        <v>0.3366491991</v>
      </c>
      <c r="P61" t="n">
        <v>0.856728</v>
      </c>
      <c r="Q61" t="n">
        <v>0.174664564272</v>
      </c>
      <c r="R61" t="n">
        <v>1.12727368421053</v>
      </c>
      <c r="S61" t="n">
        <v>21.7273002159827</v>
      </c>
      <c r="T61" t="n">
        <v>5.699434</v>
      </c>
      <c r="U61" t="n">
        <v>-5.699479</v>
      </c>
    </row>
    <row r="62">
      <c r="A62" t="s">
        <v>183</v>
      </c>
      <c r="B62" t="s">
        <v>165</v>
      </c>
      <c r="C62" t="n">
        <v>112.875693</v>
      </c>
      <c r="D62" t="n">
        <v>0</v>
      </c>
      <c r="E62" t="n">
        <v>12.304761</v>
      </c>
      <c r="F62" t="n">
        <v>-91.754269</v>
      </c>
      <c r="G62" t="n">
        <v>0</v>
      </c>
      <c r="H62" t="n">
        <v>0.818431</v>
      </c>
      <c r="I62" t="n">
        <v>7.351493</v>
      </c>
      <c r="J62" t="n">
        <v>0</v>
      </c>
      <c r="K62" t="n">
        <v>0</v>
      </c>
      <c r="L62" t="n">
        <v>0.00014475</v>
      </c>
      <c r="M62" t="n">
        <v>0</v>
      </c>
      <c r="N62" t="n">
        <v>4.302986</v>
      </c>
      <c r="O62" t="n">
        <v>0.09599961766</v>
      </c>
      <c r="P62" t="n">
        <v>3.048508</v>
      </c>
      <c r="Q62" t="n">
        <v>0.621511519992</v>
      </c>
      <c r="R62" t="n">
        <v>4.01119473684211</v>
      </c>
      <c r="S62" t="n">
        <v>6.19580417566595</v>
      </c>
      <c r="T62" t="n">
        <v>0</v>
      </c>
      <c r="U62" t="n">
        <v>0</v>
      </c>
    </row>
    <row r="63">
      <c r="A63" t="s">
        <v>183</v>
      </c>
      <c r="B63" t="s">
        <v>166</v>
      </c>
      <c r="C63" t="n">
        <v>16.65749</v>
      </c>
      <c r="D63" t="n">
        <v>0</v>
      </c>
      <c r="E63" t="n">
        <v>15.896637</v>
      </c>
      <c r="F63" t="n">
        <v>-0.760375</v>
      </c>
      <c r="G63" t="n">
        <v>0</v>
      </c>
      <c r="H63" t="n">
        <v>0</v>
      </c>
      <c r="I63" t="n">
        <v>0.000478</v>
      </c>
      <c r="J63" t="n">
        <v>0</v>
      </c>
      <c r="K63" t="n">
        <v>0</v>
      </c>
      <c r="L63" t="n">
        <v>-0.00006063</v>
      </c>
      <c r="M63" t="n">
        <v>0</v>
      </c>
      <c r="N63" t="n">
        <v>0.000478</v>
      </c>
      <c r="O63" t="n">
        <v>0.00001066418</v>
      </c>
      <c r="P63" t="n">
        <v>0</v>
      </c>
      <c r="Q63" t="n">
        <v>0</v>
      </c>
      <c r="R63" t="n">
        <v>0</v>
      </c>
      <c r="S63" t="n">
        <v>0.000688264938804896</v>
      </c>
      <c r="T63" t="n">
        <v>0</v>
      </c>
      <c r="U63" t="n">
        <v>0</v>
      </c>
    </row>
    <row r="64">
      <c r="A64" t="s">
        <v>183</v>
      </c>
      <c r="B64" t="s">
        <v>167</v>
      </c>
      <c r="C64" t="n">
        <v>60.520207</v>
      </c>
      <c r="D64" t="n">
        <v>0</v>
      </c>
      <c r="E64" t="n">
        <v>54.602417</v>
      </c>
      <c r="F64" t="n">
        <v>-4.563883</v>
      </c>
      <c r="G64" t="n">
        <v>0</v>
      </c>
      <c r="H64" t="n">
        <v>0.312979</v>
      </c>
      <c r="I64" t="n">
        <v>1.040929</v>
      </c>
      <c r="J64" t="n">
        <v>0</v>
      </c>
      <c r="K64" t="n">
        <v>0</v>
      </c>
      <c r="L64" t="n">
        <v>0.00014342</v>
      </c>
      <c r="M64" t="n">
        <v>0</v>
      </c>
      <c r="N64" t="n">
        <v>0.608254</v>
      </c>
      <c r="O64" t="n">
        <v>0.01357014674</v>
      </c>
      <c r="P64" t="n">
        <v>0.432674</v>
      </c>
      <c r="Q64" t="n">
        <v>0.088210979076</v>
      </c>
      <c r="R64" t="n">
        <v>0.569307894736842</v>
      </c>
      <c r="S64" t="n">
        <v>0.87581569474442</v>
      </c>
      <c r="T64" t="n">
        <v>0</v>
      </c>
      <c r="U64" t="n">
        <v>0</v>
      </c>
    </row>
    <row r="65">
      <c r="A65" t="s">
        <v>183</v>
      </c>
      <c r="B65" t="s">
        <v>168</v>
      </c>
      <c r="C65" t="n">
        <v>147.396254</v>
      </c>
      <c r="D65" t="n">
        <v>0</v>
      </c>
      <c r="E65" t="n">
        <v>132.296225</v>
      </c>
      <c r="F65" t="n">
        <v>1.170871</v>
      </c>
      <c r="G65" t="n">
        <v>0</v>
      </c>
      <c r="H65" t="n">
        <v>0.789061</v>
      </c>
      <c r="I65" t="n">
        <v>15.478461</v>
      </c>
      <c r="J65" t="n">
        <v>0</v>
      </c>
      <c r="K65" t="n">
        <v>0</v>
      </c>
      <c r="L65" t="n">
        <v>0.00016096</v>
      </c>
      <c r="M65" t="n">
        <v>0</v>
      </c>
      <c r="N65" t="n">
        <v>14.496723</v>
      </c>
      <c r="O65" t="n">
        <v>0.32342189013</v>
      </c>
      <c r="P65" t="n">
        <v>0.981738</v>
      </c>
      <c r="Q65" t="n">
        <v>0.200150853012</v>
      </c>
      <c r="R65" t="n">
        <v>1.29176052631579</v>
      </c>
      <c r="S65" t="n">
        <v>20.8736112311015</v>
      </c>
      <c r="T65" t="n">
        <v>1.85955</v>
      </c>
      <c r="U65" t="n">
        <v>-1.8629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GUILLOTIN Arnauld</dc:creator>
  <cp:lastModifiedBy>GUILLOTIN Arnauld</cp:lastModifiedBy>
  <dcterms:created xsi:type="dcterms:W3CDTF">2015-06-05T18:19:34Z</dcterms:created>
  <dcterms:modified xsi:type="dcterms:W3CDTF">2026-04-27T14:34:37Z</dcterms:modified>
</cp:coreProperties>
</file>