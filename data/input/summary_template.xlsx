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S:\ArnauldG\PhD_Study_2025\05-OPEN_DATA\code\data\input\"/>
    </mc:Choice>
  </mc:AlternateContent>
  <xr:revisionPtr revIDLastSave="0" documentId="13_ncr:1_{D739F3DC-6C6A-43DA-961F-C7089659402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g. 2a" sheetId="108" r:id="rId1"/>
    <sheet name="Fig 3.a" sheetId="106" r:id="rId2"/>
    <sheet name="year_agg_power_data" sheetId="204" r:id="rId3"/>
    <sheet name="year_area_power_data" sheetId="205" r:id="rId4"/>
    <sheet name="year_agg_h2_data" sheetId="206" r:id="rId5"/>
    <sheet name="year_area_h2_data" sheetId="207" r:id="rId6"/>
  </sheets>
  <definedNames>
    <definedName name="_xlnm._FilterDatabase" localSheetId="4" hidden="1">year_agg_h2_data!$A$1:$Q$26</definedName>
    <definedName name="_xlnm._FilterDatabase" localSheetId="5" hidden="1">year_area_h2_data!$A$1:$U$129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08" l="1"/>
  <c r="A5" i="108"/>
  <c r="H5" i="108" s="1"/>
  <c r="A4" i="108"/>
  <c r="C4" i="108" s="1"/>
  <c r="A3" i="108"/>
  <c r="T36" i="106"/>
  <c r="S36" i="106"/>
  <c r="R36" i="106"/>
  <c r="Q36" i="106"/>
  <c r="O36" i="106"/>
  <c r="M36" i="106"/>
  <c r="L36" i="106"/>
  <c r="K36" i="106"/>
  <c r="J36" i="106"/>
  <c r="I36" i="106"/>
  <c r="H36" i="106"/>
  <c r="G36" i="106"/>
  <c r="F36" i="106"/>
  <c r="E36" i="106"/>
  <c r="D36" i="106"/>
  <c r="C36" i="106"/>
  <c r="T35" i="106"/>
  <c r="S35" i="106"/>
  <c r="R35" i="106"/>
  <c r="Q35" i="106"/>
  <c r="P35" i="106"/>
  <c r="O35" i="106"/>
  <c r="N35" i="106"/>
  <c r="M35" i="106"/>
  <c r="L35" i="106"/>
  <c r="K35" i="106"/>
  <c r="J35" i="106"/>
  <c r="I35" i="106"/>
  <c r="H35" i="106"/>
  <c r="G35" i="106"/>
  <c r="F35" i="106"/>
  <c r="E35" i="106"/>
  <c r="D35" i="106"/>
  <c r="C35" i="106"/>
  <c r="A31" i="106"/>
  <c r="R31" i="106" s="1"/>
  <c r="A30" i="106"/>
  <c r="Y30" i="106" s="1"/>
  <c r="A29" i="106"/>
  <c r="O29" i="106" s="1"/>
  <c r="A28" i="106"/>
  <c r="U28" i="106" s="1"/>
  <c r="O30" i="106" l="1"/>
  <c r="O39" i="106" s="1"/>
  <c r="P30" i="106"/>
  <c r="R30" i="106"/>
  <c r="R40" i="106" s="1"/>
  <c r="AA31" i="106"/>
  <c r="M30" i="106"/>
  <c r="B29" i="106"/>
  <c r="C29" i="106"/>
  <c r="D29" i="106"/>
  <c r="J29" i="106"/>
  <c r="K29" i="106"/>
  <c r="B31" i="106"/>
  <c r="L29" i="106"/>
  <c r="C31" i="106"/>
  <c r="N29" i="106"/>
  <c r="D31" i="106"/>
  <c r="Q29" i="106"/>
  <c r="L31" i="106"/>
  <c r="S29" i="106"/>
  <c r="M31" i="106"/>
  <c r="U29" i="106"/>
  <c r="N31" i="106"/>
  <c r="V29" i="106"/>
  <c r="Q31" i="106"/>
  <c r="W29" i="106"/>
  <c r="T31" i="106"/>
  <c r="U31" i="106"/>
  <c r="K30" i="106"/>
  <c r="K39" i="106" s="1"/>
  <c r="W31" i="106"/>
  <c r="O28" i="106"/>
  <c r="L30" i="106"/>
  <c r="Z31" i="106"/>
  <c r="Q28" i="106"/>
  <c r="Q38" i="106" s="1"/>
  <c r="T29" i="106"/>
  <c r="V31" i="106"/>
  <c r="P28" i="106"/>
  <c r="X29" i="106"/>
  <c r="F31" i="106"/>
  <c r="G29" i="106"/>
  <c r="Z29" i="106"/>
  <c r="G31" i="106"/>
  <c r="I5" i="108"/>
  <c r="E31" i="106"/>
  <c r="H29" i="106"/>
  <c r="AA29" i="106"/>
  <c r="J31" i="106"/>
  <c r="E29" i="106"/>
  <c r="F29" i="106"/>
  <c r="Y29" i="106"/>
  <c r="I29" i="106"/>
  <c r="K31" i="106"/>
  <c r="M28" i="106"/>
  <c r="N28" i="106"/>
  <c r="M29" i="106"/>
  <c r="M39" i="106" s="1"/>
  <c r="N30" i="106"/>
  <c r="O31" i="106"/>
  <c r="O40" i="106" s="1"/>
  <c r="D6" i="108"/>
  <c r="J6" i="108"/>
  <c r="H6" i="108"/>
  <c r="F6" i="108"/>
  <c r="E6" i="108"/>
  <c r="C6" i="108"/>
  <c r="G6" i="108"/>
  <c r="J3" i="108"/>
  <c r="I3" i="108"/>
  <c r="H3" i="108"/>
  <c r="F3" i="108"/>
  <c r="D3" i="108"/>
  <c r="C3" i="108"/>
  <c r="I6" i="108"/>
  <c r="B28" i="106"/>
  <c r="S28" i="106"/>
  <c r="Q30" i="106"/>
  <c r="E3" i="108"/>
  <c r="C34" i="106"/>
  <c r="G3" i="108"/>
  <c r="C28" i="106"/>
  <c r="H4" i="108"/>
  <c r="F4" i="108"/>
  <c r="D4" i="108"/>
  <c r="J4" i="108"/>
  <c r="I4" i="108"/>
  <c r="D28" i="106"/>
  <c r="B30" i="106"/>
  <c r="V30" i="106"/>
  <c r="Z28" i="106"/>
  <c r="J28" i="106"/>
  <c r="R28" i="106"/>
  <c r="U30" i="106"/>
  <c r="E28" i="106"/>
  <c r="V28" i="106"/>
  <c r="F28" i="106"/>
  <c r="W28" i="106"/>
  <c r="G28" i="106"/>
  <c r="X28" i="106"/>
  <c r="E4" i="108"/>
  <c r="F30" i="106"/>
  <c r="X30" i="106"/>
  <c r="H28" i="106"/>
  <c r="Y28" i="106"/>
  <c r="P29" i="106"/>
  <c r="G30" i="106"/>
  <c r="P31" i="106"/>
  <c r="P40" i="106" s="1"/>
  <c r="G4" i="108"/>
  <c r="J5" i="108"/>
  <c r="F5" i="108"/>
  <c r="E5" i="108"/>
  <c r="D5" i="108"/>
  <c r="T30" i="106"/>
  <c r="D30" i="106"/>
  <c r="S30" i="106"/>
  <c r="S39" i="106" s="1"/>
  <c r="C30" i="106"/>
  <c r="E30" i="106"/>
  <c r="W30" i="106"/>
  <c r="H30" i="106"/>
  <c r="Z30" i="106"/>
  <c r="K28" i="106"/>
  <c r="R29" i="106"/>
  <c r="I30" i="106"/>
  <c r="AA30" i="106"/>
  <c r="C5" i="108"/>
  <c r="T28" i="106"/>
  <c r="I28" i="106"/>
  <c r="AA28" i="106"/>
  <c r="L28" i="106"/>
  <c r="J30" i="106"/>
  <c r="Y31" i="106"/>
  <c r="I31" i="106"/>
  <c r="X31" i="106"/>
  <c r="H31" i="106"/>
  <c r="S31" i="106"/>
  <c r="G5" i="108"/>
  <c r="Q39" i="106" l="1"/>
  <c r="S38" i="106"/>
  <c r="E40" i="106"/>
  <c r="M40" i="106"/>
  <c r="C39" i="106"/>
  <c r="R38" i="106"/>
  <c r="L39" i="106"/>
  <c r="J38" i="106"/>
  <c r="D38" i="106"/>
  <c r="J39" i="106"/>
  <c r="L38" i="106"/>
  <c r="N40" i="106"/>
  <c r="K38" i="106"/>
  <c r="O38" i="106"/>
  <c r="L40" i="106"/>
  <c r="H40" i="106"/>
  <c r="R39" i="106"/>
  <c r="S40" i="106"/>
  <c r="H39" i="106"/>
  <c r="N39" i="106"/>
  <c r="K40" i="106"/>
  <c r="I40" i="106"/>
  <c r="E39" i="106"/>
  <c r="I38" i="106"/>
  <c r="T38" i="106"/>
  <c r="G40" i="106"/>
  <c r="F39" i="106"/>
  <c r="D39" i="106"/>
  <c r="J40" i="106"/>
  <c r="T39" i="106"/>
  <c r="N38" i="106"/>
  <c r="I39" i="106"/>
  <c r="T40" i="106"/>
  <c r="G39" i="106"/>
  <c r="P38" i="106"/>
  <c r="H38" i="106"/>
  <c r="M38" i="106"/>
  <c r="Q40" i="106"/>
  <c r="P39" i="106"/>
  <c r="F38" i="106"/>
  <c r="G38" i="106"/>
  <c r="E38" i="106"/>
  <c r="F40" i="106"/>
  <c r="C40" i="106"/>
  <c r="D40" i="106"/>
  <c r="C38" i="106"/>
</calcChain>
</file>

<file path=xl/sharedStrings.xml><?xml version="1.0" encoding="utf-8"?>
<sst xmlns="http://schemas.openxmlformats.org/spreadsheetml/2006/main" count="80" uniqueCount="66">
  <si>
    <t>study_name</t>
  </si>
  <si>
    <t>z_h2</t>
  </si>
  <si>
    <t>NUCLEAR</t>
  </si>
  <si>
    <t>COAL</t>
  </si>
  <si>
    <t>LIGNITE</t>
  </si>
  <si>
    <t>OIL</t>
  </si>
  <si>
    <t>CCGT_production</t>
  </si>
  <si>
    <t>OCGT_production</t>
  </si>
  <si>
    <t>Conventional_production</t>
  </si>
  <si>
    <t>dsr</t>
  </si>
  <si>
    <t>h2_cluster</t>
  </si>
  <si>
    <t>battery_turb</t>
  </si>
  <si>
    <t>othernonres</t>
  </si>
  <si>
    <t>h2_imports</t>
  </si>
  <si>
    <t>ccs_production</t>
  </si>
  <si>
    <t>wo_ccs_production</t>
  </si>
  <si>
    <t>ROW.BAL.</t>
  </si>
  <si>
    <t>UNSP..ENRG</t>
  </si>
  <si>
    <t>H..ROR</t>
  </si>
  <si>
    <t>WIND.OFFSHORE</t>
  </si>
  <si>
    <t>WIND.ONSHORE</t>
  </si>
  <si>
    <t>SOLAR.CONCRT.</t>
  </si>
  <si>
    <t>SOLAR.PV</t>
  </si>
  <si>
    <t>label</t>
  </si>
  <si>
    <t>Category</t>
  </si>
  <si>
    <t>Run-of-river hydro</t>
  </si>
  <si>
    <t>Offshore wind</t>
  </si>
  <si>
    <t>Onshore wind</t>
  </si>
  <si>
    <t>Concentration solar</t>
  </si>
  <si>
    <t>PV</t>
  </si>
  <si>
    <t>Nuclear</t>
  </si>
  <si>
    <t>Methane - CCGT</t>
  </si>
  <si>
    <t>Methane - OCGT</t>
  </si>
  <si>
    <t>Methane - conventional</t>
  </si>
  <si>
    <t>DSR</t>
  </si>
  <si>
    <t>Other non-RES</t>
  </si>
  <si>
    <t>Coal</t>
  </si>
  <si>
    <t>Oil</t>
  </si>
  <si>
    <t>Lignite</t>
  </si>
  <si>
    <t>Unsupplied energy</t>
  </si>
  <si>
    <t>Electrolysis</t>
  </si>
  <si>
    <t>ROW. BAL.</t>
  </si>
  <si>
    <t>Unsupplied H2</t>
  </si>
  <si>
    <t>Imports from third countries</t>
  </si>
  <si>
    <t>SPIL..ENRG</t>
  </si>
  <si>
    <t>Diff with</t>
  </si>
  <si>
    <t>Spilled energy</t>
  </si>
  <si>
    <t>LOAD</t>
  </si>
  <si>
    <t>0_battery_pump</t>
  </si>
  <si>
    <t>1_pump_closed</t>
  </si>
  <si>
    <t>1_turb_closed</t>
  </si>
  <si>
    <t>hydro_res</t>
  </si>
  <si>
    <t>2_open_turb</t>
  </si>
  <si>
    <t>2_open_pump</t>
  </si>
  <si>
    <t>MISC..NDG</t>
  </si>
  <si>
    <t>Battery</t>
  </si>
  <si>
    <t>Pumping</t>
  </si>
  <si>
    <t>Other hydro</t>
  </si>
  <si>
    <t>Load</t>
  </si>
  <si>
    <t>Non-disp. generation</t>
  </si>
  <si>
    <t>Consumption</t>
  </si>
  <si>
    <t>Blue hydrogen</t>
  </si>
  <si>
    <t>Grey hydrogen</t>
  </si>
  <si>
    <t>Coal, Oil and Lignite</t>
  </si>
  <si>
    <t>Battery discharge</t>
  </si>
  <si>
    <t>Hydrogen - CCGT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</si>
</sst>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0" tint="-0.34998626667073579"/>
      <name val="Calibri"/>
    </font>
    <font>
      <sz val="11"/>
      <color rgb="FFFF0000"/>
      <name val="Calibri"/>
    </font>
    <font>
      <i/>
      <sz val="11"/>
      <color theme="0" tint="-0.34998626667073579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2" borderId="2" xfId="0" applyFont="1" applyFill="1" applyBorder="1"/>
    <xf numFmtId="0" fontId="2" fillId="2" borderId="3" xfId="0" applyFont="1" applyFill="1" applyBorder="1"/>
    <xf numFmtId="0" fontId="1" fillId="0" borderId="0" xfId="0" applyFont="1"/>
    <xf numFmtId="0" fontId="3" fillId="0" borderId="0" xfId="0" applyFont="1"/>
    <xf numFmtId="164" fontId="1" fillId="0" borderId="0" xfId="0" applyNumberFormat="1" applyFont="1"/>
    <xf numFmtId="0" fontId="1" fillId="0" borderId="4" xfId="0" applyFont="1" applyBorder="1"/>
    <xf numFmtId="0" fontId="1" fillId="0" borderId="5" xfId="0" applyFont="1" applyBorder="1"/>
    <xf numFmtId="0" fontId="4" fillId="0" borderId="0" xfId="0" applyFont="1"/>
    <xf numFmtId="0" fontId="1" fillId="0" borderId="6" xfId="0" applyFont="1" applyBorder="1"/>
    <xf numFmtId="0" fontId="1" fillId="0" borderId="8" xfId="0" applyFont="1" applyBorder="1"/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329"/>
      <color rgb="FFFF99FF"/>
      <color rgb="FFA66B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200">
                <a:solidFill>
                  <a:sysClr val="windowText" lastClr="000000"/>
                </a:solidFill>
              </a:rPr>
              <a:t>Annual</a:t>
            </a:r>
            <a:r>
              <a:rPr lang="fr-FR" sz="1200" baseline="0">
                <a:solidFill>
                  <a:sysClr val="windowText" lastClr="000000"/>
                </a:solidFill>
              </a:rPr>
              <a:t> hydrogen supply</a:t>
            </a:r>
            <a:endParaRPr lang="fr-FR" sz="120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1771159560557499"/>
          <c:y val="2.79855098659625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'Fig. 2a'!$C$2</c:f>
              <c:strCache>
                <c:ptCount val="1"/>
                <c:pt idx="0">
                  <c:v>Electrolysis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'Fig. 2a'!$B$3:$B$6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'Fig. 2a'!$C$3:$C$6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D8-4344-BB89-E0382229FD58}"/>
            </c:ext>
          </c:extLst>
        </c:ser>
        <c:ser>
          <c:idx val="1"/>
          <c:order val="1"/>
          <c:tx>
            <c:strRef>
              <c:f>'Fig. 2a'!$D$2</c:f>
              <c:strCache>
                <c:ptCount val="1"/>
                <c:pt idx="0">
                  <c:v>ROW. BAL.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numRef>
              <c:f>'Fig. 2a'!$B$3:$B$6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'Fig. 2a'!$D$3:$D$6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D8-4344-BB89-E0382229FD58}"/>
            </c:ext>
          </c:extLst>
        </c:ser>
        <c:ser>
          <c:idx val="3"/>
          <c:order val="3"/>
          <c:tx>
            <c:strRef>
              <c:f>'Fig. 2a'!$F$2</c:f>
              <c:strCache>
                <c:ptCount val="1"/>
                <c:pt idx="0">
                  <c:v>Imports from third countries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numRef>
              <c:f>'Fig. 2a'!$B$3:$B$6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'Fig. 2a'!$F$3:$F$6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D8-4344-BB89-E0382229FD58}"/>
            </c:ext>
          </c:extLst>
        </c:ser>
        <c:ser>
          <c:idx val="4"/>
          <c:order val="4"/>
          <c:tx>
            <c:strRef>
              <c:f>'Fig. 2a'!$G$2</c:f>
              <c:strCache>
                <c:ptCount val="1"/>
                <c:pt idx="0">
                  <c:v>Blue hydrogen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'Fig. 2a'!$B$3:$B$6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'Fig. 2a'!$G$3:$G$6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D8-4344-BB89-E0382229FD58}"/>
            </c:ext>
          </c:extLst>
        </c:ser>
        <c:ser>
          <c:idx val="5"/>
          <c:order val="5"/>
          <c:tx>
            <c:strRef>
              <c:f>'Fig. 2a'!$H$2</c:f>
              <c:strCache>
                <c:ptCount val="1"/>
                <c:pt idx="0">
                  <c:v>Grey hydrogen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'Fig. 2a'!$B$3:$B$6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'Fig. 2a'!$H$3:$H$6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D8-4344-BB89-E0382229F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0168064"/>
        <c:axId val="700162664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'Fig. 2a'!$E$2</c15:sqref>
                        </c15:formulaRef>
                      </c:ext>
                    </c:extLst>
                    <c:strCache>
                      <c:ptCount val="1"/>
                      <c:pt idx="0">
                        <c:v>Unsupplied H2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'Fig. 2a'!$B$3:$B$6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'Fig. 2a'!$E$3:$E$6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54D8-4344-BB89-E0382229FD58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'Fig. 2a'!$I$2</c15:sqref>
                        </c15:formulaRef>
                      </c:ext>
                    </c:extLst>
                    <c:strCache>
                      <c:ptCount val="1"/>
                      <c:pt idx="0">
                        <c:v>Spilled energy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'Fig. 2a'!$B$3:$B$6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'Fig. 2a'!$I$3:$I$6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4D8-4344-BB89-E0382229FD58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'Fig. 2a'!$J$2</c15:sqref>
                        </c15:formulaRef>
                      </c:ext>
                    </c:extLst>
                    <c:strCache>
                      <c:ptCount val="1"/>
                      <c:pt idx="0">
                        <c:v>Consumption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'Fig. 2a'!$B$3:$B$6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'Fig. 2a'!$J$3:$J$6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4D8-4344-BB89-E0382229FD58}"/>
                  </c:ext>
                </c:extLst>
              </c15:ser>
            </c15:filteredBarSeries>
          </c:ext>
        </c:extLst>
      </c:barChart>
      <c:catAx>
        <c:axId val="700168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>
                    <a:solidFill>
                      <a:sysClr val="windowText" lastClr="000000"/>
                    </a:solidFill>
                  </a:rPr>
                  <a:t>Premium level</a:t>
                </a:r>
                <a:r>
                  <a:rPr lang="fr-FR" baseline="0">
                    <a:solidFill>
                      <a:sysClr val="windowText" lastClr="000000"/>
                    </a:solidFill>
                  </a:rPr>
                  <a:t> (EUR/kgH2)</a:t>
                </a:r>
                <a:endParaRPr lang="fr-FR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0162664"/>
        <c:crosses val="autoZero"/>
        <c:auto val="1"/>
        <c:lblAlgn val="ctr"/>
        <c:lblOffset val="100"/>
        <c:noMultiLvlLbl val="0"/>
      </c:catAx>
      <c:valAx>
        <c:axId val="700162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>
                    <a:solidFill>
                      <a:sysClr val="windowText" lastClr="000000"/>
                    </a:solidFill>
                  </a:rPr>
                  <a:t>TWh H2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016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200" b="0">
                <a:solidFill>
                  <a:sysClr val="windowText" lastClr="000000"/>
                </a:solidFill>
              </a:rPr>
              <a:t>Change in annual electricity supply-demand matching for</a:t>
            </a:r>
            <a:r>
              <a:rPr lang="fr-FR" sz="1200" b="0" baseline="0">
                <a:solidFill>
                  <a:sysClr val="windowText" lastClr="000000"/>
                </a:solidFill>
              </a:rPr>
              <a:t> premium increments</a:t>
            </a:r>
            <a:endParaRPr lang="fr-FR" sz="1200" b="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9.6740245953321008E-2"/>
          <c:y val="4.23653546503337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3939860778272281"/>
          <c:y val="0.13699991194250521"/>
          <c:w val="0.50942610539067235"/>
          <c:h val="0.6680534182626317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'Fig 3.a'!$H$36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 3.a'!$H$37:$H$40</c15:sqref>
                  </c15:fullRef>
                </c:ext>
              </c:extLst>
              <c:f>'Fig 3.a'!$H$38:$H$40</c:f>
              <c:numCache>
                <c:formatCode>General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E5-44AC-B78B-04036AA35428}"/>
            </c:ext>
          </c:extLst>
        </c:ser>
        <c:ser>
          <c:idx val="1"/>
          <c:order val="1"/>
          <c:tx>
            <c:strRef>
              <c:f>'Fig 3.a'!$I$36</c:f>
              <c:strCache>
                <c:ptCount val="1"/>
                <c:pt idx="0">
                  <c:v>Methane - CCGT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 3.a'!$I$37:$I$40</c15:sqref>
                  </c15:fullRef>
                </c:ext>
              </c:extLst>
              <c:f>'Fig 3.a'!$I$38:$I$40</c:f>
              <c:numCache>
                <c:formatCode>General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E5-44AC-B78B-04036AA35428}"/>
            </c:ext>
          </c:extLst>
        </c:ser>
        <c:ser>
          <c:idx val="2"/>
          <c:order val="2"/>
          <c:tx>
            <c:strRef>
              <c:f>'Fig 3.a'!$J$36</c:f>
              <c:strCache>
                <c:ptCount val="1"/>
                <c:pt idx="0">
                  <c:v>Methane - OCGT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 3.a'!$J$37:$J$40</c15:sqref>
                  </c15:fullRef>
                </c:ext>
              </c:extLst>
              <c:f>'Fig 3.a'!$J$38:$J$40</c:f>
              <c:numCache>
                <c:formatCode>General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E5-44AC-B78B-04036AA35428}"/>
            </c:ext>
          </c:extLst>
        </c:ser>
        <c:ser>
          <c:idx val="3"/>
          <c:order val="3"/>
          <c:tx>
            <c:strRef>
              <c:f>'Fig 3.a'!$K$36</c:f>
              <c:strCache>
                <c:ptCount val="1"/>
                <c:pt idx="0">
                  <c:v>Methane - conventional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 3.a'!$K$37:$K$40</c15:sqref>
                  </c15:fullRef>
                </c:ext>
              </c:extLst>
              <c:f>'Fig 3.a'!$K$38:$K$40</c:f>
              <c:numCache>
                <c:formatCode>General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E5-44AC-B78B-04036AA35428}"/>
            </c:ext>
          </c:extLst>
        </c:ser>
        <c:ser>
          <c:idx val="4"/>
          <c:order val="4"/>
          <c:tx>
            <c:strRef>
              <c:f>'Fig 3.a'!$L$36</c:f>
              <c:strCache>
                <c:ptCount val="1"/>
                <c:pt idx="0">
                  <c:v>DSR</c:v>
                </c:pt>
              </c:strCache>
            </c:strRef>
          </c:tx>
          <c:spPr>
            <a:solidFill>
              <a:srgbClr val="A66BD3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 3.a'!$L$37:$L$40</c15:sqref>
                  </c15:fullRef>
                </c:ext>
              </c:extLst>
              <c:f>'Fig 3.a'!$L$38:$L$40</c:f>
              <c:numCache>
                <c:formatCode>General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E5-44AC-B78B-04036AA35428}"/>
            </c:ext>
          </c:extLst>
        </c:ser>
        <c:ser>
          <c:idx val="5"/>
          <c:order val="5"/>
          <c:tx>
            <c:strRef>
              <c:f>'Fig 3.a'!$M$36</c:f>
              <c:strCache>
                <c:ptCount val="1"/>
                <c:pt idx="0">
                  <c:v>Hydrogen - CCGT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 3.a'!$M$37:$M$40</c15:sqref>
                  </c15:fullRef>
                </c:ext>
              </c:extLst>
              <c:f>'Fig 3.a'!$M$38:$M$40</c:f>
              <c:numCache>
                <c:formatCode>General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FE5-44AC-B78B-04036AA35428}"/>
            </c:ext>
          </c:extLst>
        </c:ser>
        <c:ser>
          <c:idx val="7"/>
          <c:order val="7"/>
          <c:tx>
            <c:strRef>
              <c:f>'Fig 3.a'!$O$36</c:f>
              <c:strCache>
                <c:ptCount val="1"/>
                <c:pt idx="0">
                  <c:v>Other non-RES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 3.a'!$O$37:$O$40</c15:sqref>
                  </c15:fullRef>
                </c:ext>
              </c:extLst>
              <c:f>'Fig 3.a'!$O$38:$O$40</c:f>
              <c:numCache>
                <c:formatCode>General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E5-44AC-B78B-04036AA35428}"/>
            </c:ext>
          </c:extLst>
        </c:ser>
        <c:ser>
          <c:idx val="8"/>
          <c:order val="8"/>
          <c:tx>
            <c:strRef>
              <c:f>'Fig 3.a'!$P$36</c:f>
              <c:strCache>
                <c:ptCount val="1"/>
                <c:pt idx="0">
                  <c:v>Coal, Oil and Lignite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 3.a'!$P$37:$P$40</c15:sqref>
                  </c15:fullRef>
                </c:ext>
              </c:extLst>
              <c:f>'Fig 3.a'!$P$38:$P$40</c:f>
              <c:numCache>
                <c:formatCode>General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FE5-44AC-B78B-04036AA35428}"/>
            </c:ext>
          </c:extLst>
        </c:ser>
        <c:ser>
          <c:idx val="9"/>
          <c:order val="9"/>
          <c:tx>
            <c:strRef>
              <c:f>'Fig 3.a'!$Q$36</c:f>
              <c:strCache>
                <c:ptCount val="1"/>
                <c:pt idx="0">
                  <c:v>Oil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 3.a'!$Q$37:$Q$40</c15:sqref>
                  </c15:fullRef>
                </c:ext>
              </c:extLst>
              <c:f>'Fig 3.a'!$Q$38:$Q$40</c:f>
              <c:numCache>
                <c:formatCode>General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FE5-44AC-B78B-04036AA35428}"/>
            </c:ext>
          </c:extLst>
        </c:ser>
        <c:ser>
          <c:idx val="10"/>
          <c:order val="10"/>
          <c:tx>
            <c:strRef>
              <c:f>'Fig 3.a'!$R$36</c:f>
              <c:strCache>
                <c:ptCount val="1"/>
                <c:pt idx="0">
                  <c:v>Lignite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2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 3.a'!$R$37:$R$40</c15:sqref>
                  </c15:fullRef>
                </c:ext>
              </c:extLst>
              <c:f>'Fig 3.a'!$R$38:$R$40</c:f>
              <c:numCache>
                <c:formatCode>General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FE5-44AC-B78B-04036AA35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7686824"/>
        <c:axId val="1017691864"/>
        <c:extLst>
          <c:ext xmlns:c15="http://schemas.microsoft.com/office/drawing/2012/chart" uri="{02D57815-91ED-43cb-92C2-25804820EDAC}"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'Fig 3.a'!$N$36</c15:sqref>
                        </c15:formulaRef>
                      </c:ext>
                    </c:extLst>
                    <c:strCache>
                      <c:ptCount val="1"/>
                      <c:pt idx="0">
                        <c:v>Battery discharge</c:v>
                      </c:pt>
                    </c:strCache>
                  </c:strRef>
                </c:tx>
                <c:spPr>
                  <a:solidFill>
                    <a:srgbClr val="FF99FF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ullRef>
                          <c15:sqref>'Fig 3.a'!$N$37:$N$40</c15:sqref>
                        </c15:fullRef>
                        <c15:formulaRef>
                          <c15:sqref>'Fig 3.a'!$N$38:$N$40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6FE5-44AC-B78B-04036AA35428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3.a'!$S$36</c15:sqref>
                        </c15:formulaRef>
                      </c:ext>
                    </c:extLst>
                    <c:strCache>
                      <c:ptCount val="1"/>
                      <c:pt idx="0">
                        <c:v>Unsupplied energy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'Fig 3.a'!$S$37:$S$40</c15:sqref>
                        </c15:fullRef>
                        <c15:formulaRef>
                          <c15:sqref>'Fig 3.a'!$S$38:$S$40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6FE5-44AC-B78B-04036AA35428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'Fig 3.a'!$T$36</c15:sqref>
                        </c15:formulaRef>
                      </c:ext>
                    </c:extLst>
                    <c:strCache>
                      <c:ptCount val="1"/>
                      <c:pt idx="0">
                        <c:v>Spilled energy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'Fig 3.a'!$T$37:$T$40</c15:sqref>
                        </c15:fullRef>
                        <c15:formulaRef>
                          <c15:sqref>'Fig 3.a'!$T$38:$T$40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6FE5-44AC-B78B-04036AA35428}"/>
                  </c:ext>
                </c:extLst>
              </c15:ser>
            </c15:filteredBarSeries>
          </c:ext>
        </c:extLst>
      </c:barChart>
      <c:catAx>
        <c:axId val="1017686824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100">
                    <a:solidFill>
                      <a:sysClr val="windowText" lastClr="000000"/>
                    </a:solidFill>
                  </a:rPr>
                  <a:t>Premium level increment (+1 EUR/kgH2)</a:t>
                </a:r>
              </a:p>
            </c:rich>
          </c:tx>
          <c:layout>
            <c:manualLayout>
              <c:xMode val="edge"/>
              <c:yMode val="edge"/>
              <c:x val="0.20390745993707307"/>
              <c:y val="0.890914597213809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crossAx val="1017691864"/>
        <c:crosses val="autoZero"/>
        <c:auto val="1"/>
        <c:lblAlgn val="ctr"/>
        <c:lblOffset val="100"/>
        <c:noMultiLvlLbl val="0"/>
      </c:catAx>
      <c:valAx>
        <c:axId val="1017691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>
                    <a:solidFill>
                      <a:sysClr val="windowText" lastClr="000000"/>
                    </a:solidFill>
                  </a:rPr>
                  <a:t>TWhe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7686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1441450</xdr:colOff>
      <xdr:row>7</xdr:row>
      <xdr:rowOff>104140</xdr:rowOff>
    </xdr:from>
    <xdr:to>
      <xdr:col>8</xdr:col>
      <xdr:colOff>22860</xdr:colOff>
      <xdr:row>29</xdr:row>
      <xdr:rowOff>38100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A6AF234-7950-F61F-73C7-E347D76070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1011382</xdr:colOff>
      <xdr:row>1</xdr:row>
      <xdr:rowOff>13855</xdr:rowOff>
    </xdr:from>
    <xdr:to>
      <xdr:col>10</xdr:col>
      <xdr:colOff>18746</xdr:colOff>
      <xdr:row>22</xdr:row>
      <xdr:rowOff>41857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E6FA724B-FF05-4AFC-931C-5E9F25722D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130924</xdr:colOff>
      <xdr:row>18</xdr:row>
      <xdr:rowOff>62088</xdr:rowOff>
    </xdr:from>
    <xdr:to>
      <xdr:col>3</xdr:col>
      <xdr:colOff>35354</xdr:colOff>
      <xdr:row>19</xdr:row>
      <xdr:rowOff>153759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104A5487-CAC7-4B9A-9526-981A795D6E79}"/>
            </a:ext>
          </a:extLst>
        </xdr:cNvPr>
        <xdr:cNvSpPr txBox="1"/>
      </xdr:nvSpPr>
      <xdr:spPr>
        <a:xfrm>
          <a:off x="2998815" y="3304052"/>
          <a:ext cx="957375" cy="2717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050" kern="1200">
              <a:latin typeface="IBM Plex Sans" panose="020B0503050203000203" pitchFamily="34" charset="0"/>
            </a:rPr>
            <a:t>0→1 EUR/kg</a:t>
          </a:r>
          <a:endParaRPr lang="fr-FR" sz="1050" kern="1200"/>
        </a:p>
      </xdr:txBody>
    </xdr:sp>
    <xdr:clientData/>
  </xdr:twoCellAnchor>
  <xdr:twoCellAnchor>
    <xdr:from>
      <xdr:col>5</xdr:col>
      <xdr:colOff>110915</xdr:colOff>
      <xdr:row>18</xdr:row>
      <xdr:rowOff>67803</xdr:rowOff>
    </xdr:from>
    <xdr:to>
      <xdr:col>6</xdr:col>
      <xdr:colOff>341772</xdr:colOff>
      <xdr:row>19</xdr:row>
      <xdr:rowOff>153759</xdr:rowOff>
    </xdr:to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ACD30E45-BCB5-4A36-A3D0-81E4A57C6401}"/>
            </a:ext>
          </a:extLst>
        </xdr:cNvPr>
        <xdr:cNvSpPr txBox="1"/>
      </xdr:nvSpPr>
      <xdr:spPr>
        <a:xfrm>
          <a:off x="5611170" y="3309767"/>
          <a:ext cx="1020566" cy="2660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050" kern="1200">
              <a:latin typeface="IBM Plex Sans" panose="020B0503050203000203" pitchFamily="34" charset="0"/>
            </a:rPr>
            <a:t>2→3 EUR/kg</a:t>
          </a:r>
          <a:endParaRPr lang="fr-FR" sz="1050" kern="1200"/>
        </a:p>
      </xdr:txBody>
    </xdr:sp>
    <xdr:clientData/>
  </xdr:twoCellAnchor>
  <xdr:twoCellAnchor>
    <xdr:from>
      <xdr:col>3</xdr:col>
      <xdr:colOff>472835</xdr:colOff>
      <xdr:row>18</xdr:row>
      <xdr:rowOff>48167</xdr:rowOff>
    </xdr:from>
    <xdr:to>
      <xdr:col>4</xdr:col>
      <xdr:colOff>622765</xdr:colOff>
      <xdr:row>19</xdr:row>
      <xdr:rowOff>120446</xdr:rowOff>
    </xdr:to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A296D4BF-E22A-463B-AADB-D4A966A384C8}"/>
            </a:ext>
          </a:extLst>
        </xdr:cNvPr>
        <xdr:cNvSpPr txBox="1"/>
      </xdr:nvSpPr>
      <xdr:spPr>
        <a:xfrm>
          <a:off x="4393671" y="3290131"/>
          <a:ext cx="939639" cy="2523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050" kern="1200">
              <a:latin typeface="IBM Plex Sans" panose="020B0503050203000203" pitchFamily="34" charset="0"/>
            </a:rPr>
            <a:t>1→2 EUR/kg</a:t>
          </a:r>
          <a:endParaRPr lang="fr-FR" sz="105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/>
  </sheetPr>
  <dimension ref="A1:J6"/>
  <sheetViews>
    <sheetView tabSelected="1" zoomScaleNormal="100" workbookViewId="0">
      <selection activeCell="J27" sqref="J27"/>
    </sheetView>
  </sheetViews>
  <sheetFormatPr baseColWidth="10" defaultRowHeight="14.4" x14ac:dyDescent="0.3"/>
  <cols>
    <col min="2" max="2" width="30.21875" customWidth="1"/>
    <col min="3" max="3" width="15.44140625" customWidth="1"/>
  </cols>
  <sheetData>
    <row r="1" spans="1:10" x14ac:dyDescent="0.3">
      <c r="B1" t="s">
        <v>24</v>
      </c>
      <c r="C1" t="s">
        <v>1</v>
      </c>
      <c r="D1" t="s">
        <v>16</v>
      </c>
      <c r="E1" t="s">
        <v>17</v>
      </c>
      <c r="F1" t="s">
        <v>13</v>
      </c>
      <c r="G1" t="s">
        <v>14</v>
      </c>
      <c r="H1" t="s">
        <v>15</v>
      </c>
      <c r="I1" t="s">
        <v>44</v>
      </c>
      <c r="J1" t="s">
        <v>47</v>
      </c>
    </row>
    <row r="2" spans="1:10" x14ac:dyDescent="0.3">
      <c r="A2" t="s">
        <v>0</v>
      </c>
      <c r="B2" t="s">
        <v>23</v>
      </c>
      <c r="C2" t="s">
        <v>40</v>
      </c>
      <c r="D2" t="s">
        <v>41</v>
      </c>
      <c r="E2" t="s">
        <v>42</v>
      </c>
      <c r="F2" t="s">
        <v>43</v>
      </c>
      <c r="G2" t="s">
        <v>61</v>
      </c>
      <c r="H2" t="s">
        <v>62</v>
      </c>
      <c r="I2" t="s">
        <v>46</v>
      </c>
      <c r="J2" t="s">
        <v>60</v>
      </c>
    </row>
    <row r="3" spans="1:10" x14ac:dyDescent="0.3">
      <c r="A3">
        <f>year_agg_power_data!A2</f>
        <v>0</v>
      </c>
      <c r="B3">
        <v>0</v>
      </c>
      <c r="C3" t="e">
        <f>INDEX(year_agg_h2_data!$B$2:$AD$26,MATCH($A3,year_agg_h2_data!$A$2:$A$26,0),MATCH(C$1,year_agg_h2_data!$B$1:$AD$1,0))</f>
        <v>#N/A</v>
      </c>
      <c r="D3" t="e">
        <f>INDEX(year_agg_h2_data!$B$2:$AD$26,MATCH($A3,year_agg_h2_data!$A$2:$A$26,0),MATCH(D$1,year_agg_h2_data!$B$1:$AD$1,0))</f>
        <v>#N/A</v>
      </c>
      <c r="E3" t="e">
        <f>INDEX(year_agg_h2_data!$B$2:$AD$26,MATCH($A3,year_agg_h2_data!$A$2:$A$26,0),MATCH(E$1,year_agg_h2_data!$B$1:$AD$1,0))</f>
        <v>#N/A</v>
      </c>
      <c r="F3" t="e">
        <f>INDEX(year_agg_h2_data!$B$2:$AD$26,MATCH($A3,year_agg_h2_data!$A$2:$A$26,0),MATCH(F$1,year_agg_h2_data!$B$1:$AD$1,0))</f>
        <v>#N/A</v>
      </c>
      <c r="G3" t="e">
        <f>INDEX(year_agg_h2_data!$B$2:$AD$26,MATCH($A3,year_agg_h2_data!$A$2:$A$26,0),MATCH(G$1,year_agg_h2_data!$B$1:$AD$1,0))</f>
        <v>#N/A</v>
      </c>
      <c r="H3" t="e">
        <f>INDEX(year_agg_h2_data!$B$2:$AD$26,MATCH($A3,year_agg_h2_data!$A$2:$A$26,0),MATCH(H$1,year_agg_h2_data!$B$1:$AD$1,0))</f>
        <v>#N/A</v>
      </c>
      <c r="I3" t="e">
        <f>-INDEX(year_agg_h2_data!$B$2:$AD$26,MATCH($A3,year_agg_h2_data!$A$2:$A$26,0),MATCH(I$1,year_agg_h2_data!$B$1:$AD$1,0))</f>
        <v>#N/A</v>
      </c>
      <c r="J3" t="e">
        <f>-INDEX(year_agg_h2_data!$B$2:$AD$26,MATCH($A3,year_agg_h2_data!$A$2:$A$26,0),MATCH(J$1,year_agg_h2_data!$B$1:$AD$1,0))</f>
        <v>#N/A</v>
      </c>
    </row>
    <row r="4" spans="1:10" x14ac:dyDescent="0.3">
      <c r="A4">
        <f>year_agg_power_data!A3</f>
        <v>0</v>
      </c>
      <c r="B4">
        <v>1</v>
      </c>
      <c r="C4" t="e">
        <f>INDEX(year_agg_h2_data!$B$2:$AD$26,MATCH($A4,year_agg_h2_data!$A$2:$A$26,0),MATCH(C$1,year_agg_h2_data!$B$1:$AD$1,0))</f>
        <v>#N/A</v>
      </c>
      <c r="D4" t="e">
        <f>INDEX(year_agg_h2_data!$B$2:$AD$26,MATCH($A4,year_agg_h2_data!$A$2:$A$26,0),MATCH(D$1,year_agg_h2_data!$B$1:$AD$1,0))</f>
        <v>#N/A</v>
      </c>
      <c r="E4" t="e">
        <f>INDEX(year_agg_h2_data!$B$2:$AD$26,MATCH($A4,year_agg_h2_data!$A$2:$A$26,0),MATCH(E$1,year_agg_h2_data!$B$1:$AD$1,0))</f>
        <v>#N/A</v>
      </c>
      <c r="F4" t="e">
        <f>INDEX(year_agg_h2_data!$B$2:$AD$26,MATCH($A4,year_agg_h2_data!$A$2:$A$26,0),MATCH(F$1,year_agg_h2_data!$B$1:$AD$1,0))</f>
        <v>#N/A</v>
      </c>
      <c r="G4" t="e">
        <f>INDEX(year_agg_h2_data!$B$2:$AD$26,MATCH($A4,year_agg_h2_data!$A$2:$A$26,0),MATCH(G$1,year_agg_h2_data!$B$1:$AD$1,0))</f>
        <v>#N/A</v>
      </c>
      <c r="H4" t="e">
        <f>INDEX(year_agg_h2_data!$B$2:$AD$26,MATCH($A4,year_agg_h2_data!$A$2:$A$26,0),MATCH(H$1,year_agg_h2_data!$B$1:$AD$1,0))</f>
        <v>#N/A</v>
      </c>
      <c r="I4" t="e">
        <f>-INDEX(year_agg_h2_data!$B$2:$AD$26,MATCH($A4,year_agg_h2_data!$A$2:$A$26,0),MATCH(I$1,year_agg_h2_data!$B$1:$AD$1,0))</f>
        <v>#N/A</v>
      </c>
      <c r="J4" t="e">
        <f>-INDEX(year_agg_h2_data!$B$2:$AD$26,MATCH($A4,year_agg_h2_data!$A$2:$A$26,0),MATCH(J$1,year_agg_h2_data!$B$1:$AD$1,0))</f>
        <v>#N/A</v>
      </c>
    </row>
    <row r="5" spans="1:10" x14ac:dyDescent="0.3">
      <c r="A5">
        <f>year_agg_power_data!A4</f>
        <v>0</v>
      </c>
      <c r="B5">
        <v>2</v>
      </c>
      <c r="C5" t="e">
        <f>INDEX(year_agg_h2_data!$B$2:$AD$26,MATCH($A5,year_agg_h2_data!$A$2:$A$26,0),MATCH(C$1,year_agg_h2_data!$B$1:$AD$1,0))</f>
        <v>#N/A</v>
      </c>
      <c r="D5" t="e">
        <f>INDEX(year_agg_h2_data!$B$2:$AD$26,MATCH($A5,year_agg_h2_data!$A$2:$A$26,0),MATCH(D$1,year_agg_h2_data!$B$1:$AD$1,0))</f>
        <v>#N/A</v>
      </c>
      <c r="E5" t="e">
        <f>INDEX(year_agg_h2_data!$B$2:$AD$26,MATCH($A5,year_agg_h2_data!$A$2:$A$26,0),MATCH(E$1,year_agg_h2_data!$B$1:$AD$1,0))</f>
        <v>#N/A</v>
      </c>
      <c r="F5" t="e">
        <f>INDEX(year_agg_h2_data!$B$2:$AD$26,MATCH($A5,year_agg_h2_data!$A$2:$A$26,0),MATCH(F$1,year_agg_h2_data!$B$1:$AD$1,0))</f>
        <v>#N/A</v>
      </c>
      <c r="G5" t="e">
        <f>INDEX(year_agg_h2_data!$B$2:$AD$26,MATCH($A5,year_agg_h2_data!$A$2:$A$26,0),MATCH(G$1,year_agg_h2_data!$B$1:$AD$1,0))</f>
        <v>#N/A</v>
      </c>
      <c r="H5" t="e">
        <f>INDEX(year_agg_h2_data!$B$2:$AD$26,MATCH($A5,year_agg_h2_data!$A$2:$A$26,0),MATCH(H$1,year_agg_h2_data!$B$1:$AD$1,0))</f>
        <v>#N/A</v>
      </c>
      <c r="I5" t="e">
        <f>-INDEX(year_agg_h2_data!$B$2:$AD$26,MATCH($A5,year_agg_h2_data!$A$2:$A$26,0),MATCH(I$1,year_agg_h2_data!$B$1:$AD$1,0))</f>
        <v>#N/A</v>
      </c>
      <c r="J5" t="e">
        <f>-INDEX(year_agg_h2_data!$B$2:$AD$26,MATCH($A5,year_agg_h2_data!$A$2:$A$26,0),MATCH(J$1,year_agg_h2_data!$B$1:$AD$1,0))</f>
        <v>#N/A</v>
      </c>
    </row>
    <row r="6" spans="1:10" x14ac:dyDescent="0.3">
      <c r="A6">
        <f>year_agg_power_data!A5</f>
        <v>0</v>
      </c>
      <c r="B6">
        <v>3</v>
      </c>
      <c r="C6" t="e">
        <f>INDEX(year_agg_h2_data!$B$2:$AD$26,MATCH($A6,year_agg_h2_data!$A$2:$A$26,0),MATCH(C$1,year_agg_h2_data!$B$1:$AD$1,0))</f>
        <v>#N/A</v>
      </c>
      <c r="D6" t="e">
        <f>INDEX(year_agg_h2_data!$B$2:$AD$26,MATCH($A6,year_agg_h2_data!$A$2:$A$26,0),MATCH(D$1,year_agg_h2_data!$B$1:$AD$1,0))</f>
        <v>#N/A</v>
      </c>
      <c r="E6" t="e">
        <f>INDEX(year_agg_h2_data!$B$2:$AD$26,MATCH($A6,year_agg_h2_data!$A$2:$A$26,0),MATCH(E$1,year_agg_h2_data!$B$1:$AD$1,0))</f>
        <v>#N/A</v>
      </c>
      <c r="F6" t="e">
        <f>INDEX(year_agg_h2_data!$B$2:$AD$26,MATCH($A6,year_agg_h2_data!$A$2:$A$26,0),MATCH(F$1,year_agg_h2_data!$B$1:$AD$1,0))</f>
        <v>#N/A</v>
      </c>
      <c r="G6" t="e">
        <f>INDEX(year_agg_h2_data!$B$2:$AD$26,MATCH($A6,year_agg_h2_data!$A$2:$A$26,0),MATCH(G$1,year_agg_h2_data!$B$1:$AD$1,0))</f>
        <v>#N/A</v>
      </c>
      <c r="H6" t="e">
        <f>INDEX(year_agg_h2_data!$B$2:$AD$26,MATCH($A6,year_agg_h2_data!$A$2:$A$26,0),MATCH(H$1,year_agg_h2_data!$B$1:$AD$1,0))</f>
        <v>#N/A</v>
      </c>
      <c r="I6" t="e">
        <f>-INDEX(year_agg_h2_data!$B$2:$AD$26,MATCH($A6,year_agg_h2_data!$A$2:$A$26,0),MATCH(I$1,year_agg_h2_data!$B$1:$AD$1,0))</f>
        <v>#N/A</v>
      </c>
      <c r="J6" t="e">
        <f>-INDEX(year_agg_h2_data!$B$2:$AD$26,MATCH($A6,year_agg_h2_data!$A$2:$A$26,0),MATCH(J$1,year_agg_h2_data!$B$1:$AD$1,0))</f>
        <v>#N/A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26:AC50"/>
  <sheetViews>
    <sheetView zoomScaleNormal="100" workbookViewId="0">
      <selection activeCell="Y29" sqref="Y29"/>
    </sheetView>
  </sheetViews>
  <sheetFormatPr baseColWidth="10" defaultRowHeight="14.4" x14ac:dyDescent="0.3"/>
  <cols>
    <col min="2" max="2" width="30.21875" customWidth="1"/>
    <col min="3" max="3" width="15.44140625" customWidth="1"/>
  </cols>
  <sheetData>
    <row r="26" spans="1:29" x14ac:dyDescent="0.3">
      <c r="B26" t="s">
        <v>24</v>
      </c>
      <c r="C26" t="s">
        <v>18</v>
      </c>
      <c r="D26" t="s">
        <v>19</v>
      </c>
      <c r="E26" t="s">
        <v>20</v>
      </c>
      <c r="F26" t="s">
        <v>21</v>
      </c>
      <c r="G26" t="s">
        <v>22</v>
      </c>
      <c r="H26" t="s">
        <v>2</v>
      </c>
      <c r="I26" t="s">
        <v>6</v>
      </c>
      <c r="J26" t="s">
        <v>7</v>
      </c>
      <c r="K26" t="s">
        <v>8</v>
      </c>
      <c r="L26" t="s">
        <v>9</v>
      </c>
      <c r="M26" t="s">
        <v>10</v>
      </c>
      <c r="N26" t="s">
        <v>11</v>
      </c>
      <c r="O26" t="s">
        <v>12</v>
      </c>
      <c r="P26" t="s">
        <v>3</v>
      </c>
      <c r="Q26" t="s">
        <v>5</v>
      </c>
      <c r="R26" t="s">
        <v>4</v>
      </c>
      <c r="S26" t="s">
        <v>17</v>
      </c>
      <c r="T26" t="s">
        <v>44</v>
      </c>
      <c r="U26" t="s">
        <v>48</v>
      </c>
      <c r="V26" t="s">
        <v>53</v>
      </c>
      <c r="W26" s="10" t="s">
        <v>49</v>
      </c>
      <c r="X26" t="s">
        <v>47</v>
      </c>
      <c r="Y26" t="s">
        <v>54</v>
      </c>
      <c r="Z26" t="s">
        <v>1</v>
      </c>
      <c r="AA26" t="s">
        <v>51</v>
      </c>
      <c r="AB26" s="10" t="s">
        <v>52</v>
      </c>
      <c r="AC26" s="10" t="s">
        <v>50</v>
      </c>
    </row>
    <row r="27" spans="1:29" x14ac:dyDescent="0.3">
      <c r="A27" t="s">
        <v>0</v>
      </c>
      <c r="B27" t="s">
        <v>23</v>
      </c>
      <c r="C27" t="s">
        <v>25</v>
      </c>
      <c r="D27" t="s">
        <v>26</v>
      </c>
      <c r="E27" t="s">
        <v>27</v>
      </c>
      <c r="F27" t="s">
        <v>28</v>
      </c>
      <c r="G27" t="s">
        <v>29</v>
      </c>
      <c r="H27" t="s">
        <v>30</v>
      </c>
      <c r="I27" t="s">
        <v>31</v>
      </c>
      <c r="J27" t="s">
        <v>32</v>
      </c>
      <c r="K27" t="s">
        <v>33</v>
      </c>
      <c r="L27" t="s">
        <v>34</v>
      </c>
      <c r="M27" t="s">
        <v>65</v>
      </c>
      <c r="N27" t="s">
        <v>55</v>
      </c>
      <c r="O27" t="s">
        <v>35</v>
      </c>
      <c r="P27" t="s">
        <v>36</v>
      </c>
      <c r="Q27" t="s">
        <v>37</v>
      </c>
      <c r="R27" t="s">
        <v>38</v>
      </c>
      <c r="S27" t="s">
        <v>39</v>
      </c>
      <c r="T27" t="s">
        <v>46</v>
      </c>
      <c r="U27" t="s">
        <v>55</v>
      </c>
      <c r="V27" t="s">
        <v>56</v>
      </c>
      <c r="W27" t="s">
        <v>16</v>
      </c>
      <c r="X27" t="s">
        <v>58</v>
      </c>
      <c r="Y27" t="s">
        <v>59</v>
      </c>
      <c r="Z27" t="s">
        <v>40</v>
      </c>
      <c r="AA27" t="s">
        <v>57</v>
      </c>
    </row>
    <row r="28" spans="1:29" x14ac:dyDescent="0.3">
      <c r="A28">
        <f>year_agg_power_data!A2</f>
        <v>0</v>
      </c>
      <c r="B28" t="e">
        <f>RIGHT(A28,LEN(A28)-9)</f>
        <v>#VALUE!</v>
      </c>
      <c r="C28" t="e">
        <f>INDEX(year_agg_power_data!$B$2:$AJ$26,MATCH($A28,year_agg_power_data!$A$2:$A$26,0),MATCH(C$26,year_agg_power_data!$B$1:$AJ$1,0))</f>
        <v>#N/A</v>
      </c>
      <c r="D28" t="e">
        <f>INDEX(year_agg_power_data!$B$2:$AJ$26,MATCH($A28,year_agg_power_data!$A$2:$A$26,0),MATCH(D$26,year_agg_power_data!$B$1:$AJ$1,0))</f>
        <v>#N/A</v>
      </c>
      <c r="E28" t="e">
        <f>INDEX(year_agg_power_data!$B$2:$AJ$26,MATCH($A28,year_agg_power_data!$A$2:$A$26,0),MATCH(E$26,year_agg_power_data!$B$1:$AJ$1,0))</f>
        <v>#N/A</v>
      </c>
      <c r="F28" t="e">
        <f>INDEX(year_agg_power_data!$B$2:$AJ$26,MATCH($A28,year_agg_power_data!$A$2:$A$26,0),MATCH(F$26,year_agg_power_data!$B$1:$AJ$1,0))</f>
        <v>#N/A</v>
      </c>
      <c r="G28" t="e">
        <f>INDEX(year_agg_power_data!$B$2:$AJ$26,MATCH($A28,year_agg_power_data!$A$2:$A$26,0),MATCH(G$26,year_agg_power_data!$B$1:$AJ$1,0))</f>
        <v>#N/A</v>
      </c>
      <c r="H28" t="e">
        <f>INDEX(year_agg_power_data!$B$2:$AJ$26,MATCH($A28,year_agg_power_data!$A$2:$A$26,0),MATCH(H$26,year_agg_power_data!$B$1:$AJ$1,0))</f>
        <v>#N/A</v>
      </c>
      <c r="I28" t="e">
        <f>INDEX(year_agg_power_data!$B$2:$AJ$26,MATCH($A28,year_agg_power_data!$A$2:$A$26,0),MATCH(I$26,year_agg_power_data!$B$1:$AJ$1,0))</f>
        <v>#N/A</v>
      </c>
      <c r="J28" t="e">
        <f>INDEX(year_agg_power_data!$B$2:$AJ$26,MATCH($A28,year_agg_power_data!$A$2:$A$26,0),MATCH(J$26,year_agg_power_data!$B$1:$AJ$1,0))</f>
        <v>#N/A</v>
      </c>
      <c r="K28" t="e">
        <f>INDEX(year_agg_power_data!$B$2:$AJ$26,MATCH($A28,year_agg_power_data!$A$2:$A$26,0),MATCH(K$26,year_agg_power_data!$B$1:$AJ$1,0))</f>
        <v>#N/A</v>
      </c>
      <c r="L28" t="e">
        <f>INDEX(year_agg_power_data!$B$2:$AJ$26,MATCH($A28,year_agg_power_data!$A$2:$A$26,0),MATCH(L$26,year_agg_power_data!$B$1:$AJ$1,0))</f>
        <v>#N/A</v>
      </c>
      <c r="M28" t="e">
        <f>INDEX(year_agg_power_data!$B$2:$AJ$26,MATCH($A28,year_agg_power_data!$A$2:$A$26,0),MATCH(M$26,year_agg_power_data!$B$1:$AJ$1,0))</f>
        <v>#N/A</v>
      </c>
      <c r="N28" t="e">
        <f>INDEX(year_agg_power_data!$B$2:$AJ$26,MATCH($A28,year_agg_power_data!$A$2:$A$26,0),MATCH(N$26,year_agg_power_data!$B$1:$AJ$1,0))</f>
        <v>#N/A</v>
      </c>
      <c r="O28" t="e">
        <f>INDEX(year_agg_power_data!$B$2:$AJ$26,MATCH($A28,year_agg_power_data!$A$2:$A$26,0),MATCH(O$26,year_agg_power_data!$B$1:$AJ$1,0))</f>
        <v>#N/A</v>
      </c>
      <c r="P28" t="e">
        <f>INDEX(year_agg_power_data!$B$2:$AJ$26,MATCH($A28,year_agg_power_data!$A$2:$A$26,0),MATCH(P$26,year_agg_power_data!$B$1:$AJ$1,0))</f>
        <v>#N/A</v>
      </c>
      <c r="Q28" t="e">
        <f>INDEX(year_agg_power_data!$B$2:$AJ$26,MATCH($A28,year_agg_power_data!$A$2:$A$26,0),MATCH(Q$26,year_agg_power_data!$B$1:$AJ$1,0))</f>
        <v>#N/A</v>
      </c>
      <c r="R28" t="e">
        <f>INDEX(year_agg_power_data!$B$2:$AJ$26,MATCH($A28,year_agg_power_data!$A$2:$A$26,0),MATCH(R$26,year_agg_power_data!$B$1:$AJ$1,0))</f>
        <v>#N/A</v>
      </c>
      <c r="S28" t="e">
        <f>INDEX(year_agg_power_data!$B$2:$AJ$26,MATCH($A28,year_agg_power_data!$A$2:$A$26,0),MATCH(S$26,year_agg_power_data!$B$1:$AJ$1,0))</f>
        <v>#N/A</v>
      </c>
      <c r="T28" t="e">
        <f>-INDEX(year_agg_power_data!$B$2:$AJ$26,MATCH($A28,year_agg_power_data!$A$2:$A$26,0),MATCH(T$26,year_agg_power_data!$B$1:$AJ$1,0))</f>
        <v>#N/A</v>
      </c>
      <c r="U28" t="e">
        <f>INDEX(year_agg_power_data!$B$2:$AJ$26,MATCH($A28,year_agg_power_data!$A$2:$A$26,0),MATCH(U$26,year_agg_power_data!$B$1:$AJ$1,0))</f>
        <v>#N/A</v>
      </c>
      <c r="V28" t="e">
        <f>INDEX(year_agg_power_data!$B$2:$AJ$26,MATCH($A28,year_agg_power_data!$A$2:$A$26,0),MATCH(W$26,year_agg_power_data!$B$1:$AJ$1,0))+INDEX(year_agg_power_data!$B$2:$AJ$26,MATCH($A28,year_agg_power_data!$A$2:$A$26,0),MATCH(V$26,year_agg_power_data!$B$1:$AJ$1,0))</f>
        <v>#N/A</v>
      </c>
      <c r="W28" t="e">
        <f>INDEX(year_agg_power_data!$B$2:$AJ$26,MATCH($A28,year_agg_power_data!$A$2:$A$26,0),MATCH(W$27,year_agg_power_data!$B$1:$AJ$1,0))</f>
        <v>#N/A</v>
      </c>
      <c r="X28" t="e">
        <f>-INDEX(year_agg_power_data!$B$2:$AJ$26,MATCH($A28,year_agg_power_data!$A$2:$A$26,0),MATCH(X$26,year_agg_power_data!$B$1:$AJ$1,0))</f>
        <v>#N/A</v>
      </c>
      <c r="Y28" t="e">
        <f>INDEX(year_agg_power_data!$B$2:$AJ$26,MATCH($A28,year_agg_power_data!$A$2:$A$26,0),MATCH(Y$26,year_agg_power_data!$B$1:$AJ$1,0))</f>
        <v>#N/A</v>
      </c>
      <c r="Z28" t="e">
        <f>-INDEX(year_agg_power_data!$B$2:$AJ$26,MATCH($A28,year_agg_power_data!$A$2:$A$26,0),MATCH(Z$26,year_agg_power_data!$B$1:$AJ$1,0))</f>
        <v>#N/A</v>
      </c>
      <c r="AA28" t="e">
        <f>INDEX(year_agg_power_data!$B$2:$AJ$26,MATCH($A28,year_agg_power_data!$A$2:$A$26,0),MATCH(AB$26,year_agg_power_data!$B$1:$AJ$1,0))+INDEX(year_agg_power_data!$B$2:$AJ$26,MATCH($A28,year_agg_power_data!$A$2:$A$26,0),MATCH(AC$26,year_agg_power_data!$B$1:$AJ$1,0))+INDEX(year_agg_power_data!$B$2:$AJ$26,MATCH($A28,year_agg_power_data!$A$2:$A$26,0),MATCH(AA$26,year_agg_power_data!$B$1:$AJ$1,0))</f>
        <v>#N/A</v>
      </c>
    </row>
    <row r="29" spans="1:29" x14ac:dyDescent="0.3">
      <c r="A29">
        <f>year_agg_power_data!A3</f>
        <v>0</v>
      </c>
      <c r="B29" t="e">
        <f t="shared" ref="B29:B31" si="0">RIGHT(A29,LEN(A29)-9)</f>
        <v>#VALUE!</v>
      </c>
      <c r="C29" t="e">
        <f>INDEX(year_agg_power_data!$B$2:$AJ$26,MATCH($A29,year_agg_power_data!$A$2:$A$26,0),MATCH(C$26,year_agg_power_data!$B$1:$AJ$1,0))</f>
        <v>#N/A</v>
      </c>
      <c r="D29" t="e">
        <f>INDEX(year_agg_power_data!$B$2:$AJ$26,MATCH($A29,year_agg_power_data!$A$2:$A$26,0),MATCH(D$26,year_agg_power_data!$B$1:$AJ$1,0))</f>
        <v>#N/A</v>
      </c>
      <c r="E29" t="e">
        <f>INDEX(year_agg_power_data!$B$2:$AJ$26,MATCH($A29,year_agg_power_data!$A$2:$A$26,0),MATCH(E$26,year_agg_power_data!$B$1:$AJ$1,0))</f>
        <v>#N/A</v>
      </c>
      <c r="F29" t="e">
        <f>INDEX(year_agg_power_data!$B$2:$AJ$26,MATCH($A29,year_agg_power_data!$A$2:$A$26,0),MATCH(F$26,year_agg_power_data!$B$1:$AJ$1,0))</f>
        <v>#N/A</v>
      </c>
      <c r="G29" t="e">
        <f>INDEX(year_agg_power_data!$B$2:$AJ$26,MATCH($A29,year_agg_power_data!$A$2:$A$26,0),MATCH(G$26,year_agg_power_data!$B$1:$AJ$1,0))</f>
        <v>#N/A</v>
      </c>
      <c r="H29" t="e">
        <f>INDEX(year_agg_power_data!$B$2:$AJ$26,MATCH($A29,year_agg_power_data!$A$2:$A$26,0),MATCH(H$26,year_agg_power_data!$B$1:$AJ$1,0))</f>
        <v>#N/A</v>
      </c>
      <c r="I29" t="e">
        <f>INDEX(year_agg_power_data!$B$2:$AJ$26,MATCH($A29,year_agg_power_data!$A$2:$A$26,0),MATCH(I$26,year_agg_power_data!$B$1:$AJ$1,0))</f>
        <v>#N/A</v>
      </c>
      <c r="J29" t="e">
        <f>INDEX(year_agg_power_data!$B$2:$AJ$26,MATCH($A29,year_agg_power_data!$A$2:$A$26,0),MATCH(J$26,year_agg_power_data!$B$1:$AJ$1,0))</f>
        <v>#N/A</v>
      </c>
      <c r="K29" t="e">
        <f>INDEX(year_agg_power_data!$B$2:$AJ$26,MATCH($A29,year_agg_power_data!$A$2:$A$26,0),MATCH(K$26,year_agg_power_data!$B$1:$AJ$1,0))</f>
        <v>#N/A</v>
      </c>
      <c r="L29" t="e">
        <f>INDEX(year_agg_power_data!$B$2:$AJ$26,MATCH($A29,year_agg_power_data!$A$2:$A$26,0),MATCH(L$26,year_agg_power_data!$B$1:$AJ$1,0))</f>
        <v>#N/A</v>
      </c>
      <c r="M29" t="e">
        <f>INDEX(year_agg_power_data!$B$2:$AJ$26,MATCH($A29,year_agg_power_data!$A$2:$A$26,0),MATCH(M$26,year_agg_power_data!$B$1:$AJ$1,0))</f>
        <v>#N/A</v>
      </c>
      <c r="N29" t="e">
        <f>INDEX(year_agg_power_data!$B$2:$AJ$26,MATCH($A29,year_agg_power_data!$A$2:$A$26,0),MATCH(N$26,year_agg_power_data!$B$1:$AJ$1,0))</f>
        <v>#N/A</v>
      </c>
      <c r="O29" t="e">
        <f>INDEX(year_agg_power_data!$B$2:$AJ$26,MATCH($A29,year_agg_power_data!$A$2:$A$26,0),MATCH(O$26,year_agg_power_data!$B$1:$AJ$1,0))</f>
        <v>#N/A</v>
      </c>
      <c r="P29" t="e">
        <f>INDEX(year_agg_power_data!$B$2:$AJ$26,MATCH($A29,year_agg_power_data!$A$2:$A$26,0),MATCH(P$26,year_agg_power_data!$B$1:$AJ$1,0))</f>
        <v>#N/A</v>
      </c>
      <c r="Q29" t="e">
        <f>INDEX(year_agg_power_data!$B$2:$AJ$26,MATCH($A29,year_agg_power_data!$A$2:$A$26,0),MATCH(Q$26,year_agg_power_data!$B$1:$AJ$1,0))</f>
        <v>#N/A</v>
      </c>
      <c r="R29" t="e">
        <f>INDEX(year_agg_power_data!$B$2:$AJ$26,MATCH($A29,year_agg_power_data!$A$2:$A$26,0),MATCH(R$26,year_agg_power_data!$B$1:$AJ$1,0))</f>
        <v>#N/A</v>
      </c>
      <c r="S29" t="e">
        <f>INDEX(year_agg_power_data!$B$2:$AJ$26,MATCH($A29,year_agg_power_data!$A$2:$A$26,0),MATCH(S$26,year_agg_power_data!$B$1:$AJ$1,0))</f>
        <v>#N/A</v>
      </c>
      <c r="T29" t="e">
        <f>-INDEX(year_agg_power_data!$B$2:$AJ$26,MATCH($A29,year_agg_power_data!$A$2:$A$26,0),MATCH(T$26,year_agg_power_data!$B$1:$AJ$1,0))</f>
        <v>#N/A</v>
      </c>
      <c r="U29" t="e">
        <f>INDEX(year_agg_power_data!$B$2:$AJ$26,MATCH($A29,year_agg_power_data!$A$2:$A$26,0),MATCH(U$26,year_agg_power_data!$B$1:$AJ$1,0))</f>
        <v>#N/A</v>
      </c>
      <c r="V29" t="e">
        <f>INDEX(year_agg_power_data!$B$2:$AJ$26,MATCH($A29,year_agg_power_data!$A$2:$A$26,0),MATCH(W$26,year_agg_power_data!$B$1:$AJ$1,0))+INDEX(year_agg_power_data!$B$2:$AJ$26,MATCH($A29,year_agg_power_data!$A$2:$A$26,0),MATCH(V$26,year_agg_power_data!$B$1:$AJ$1,0))</f>
        <v>#N/A</v>
      </c>
      <c r="W29" t="e">
        <f>INDEX(year_agg_power_data!$B$2:$AJ$26,MATCH($A29,year_agg_power_data!$A$2:$A$26,0),MATCH(W$27,year_agg_power_data!$B$1:$AJ$1,0))</f>
        <v>#N/A</v>
      </c>
      <c r="X29" t="e">
        <f>-INDEX(year_agg_power_data!$B$2:$AJ$26,MATCH($A29,year_agg_power_data!$A$2:$A$26,0),MATCH(X$26,year_agg_power_data!$B$1:$AJ$1,0))</f>
        <v>#N/A</v>
      </c>
      <c r="Y29" t="e">
        <f>INDEX(year_agg_power_data!$B$2:$AJ$26,MATCH($A29,year_agg_power_data!$A$2:$A$26,0),MATCH(Y$26,year_agg_power_data!$B$1:$AJ$1,0))</f>
        <v>#N/A</v>
      </c>
      <c r="Z29" t="e">
        <f>-INDEX(year_agg_power_data!$B$2:$AJ$26,MATCH($A29,year_agg_power_data!$A$2:$A$26,0),MATCH(Z$26,year_agg_power_data!$B$1:$AJ$1,0))</f>
        <v>#N/A</v>
      </c>
      <c r="AA29" t="e">
        <f>INDEX(year_agg_power_data!$B$2:$AJ$26,MATCH($A29,year_agg_power_data!$A$2:$A$26,0),MATCH(AB$26,year_agg_power_data!$B$1:$AJ$1,0))+INDEX(year_agg_power_data!$B$2:$AJ$26,MATCH($A29,year_agg_power_data!$A$2:$A$26,0),MATCH(AC$26,year_agg_power_data!$B$1:$AJ$1,0))+INDEX(year_agg_power_data!$B$2:$AJ$26,MATCH($A29,year_agg_power_data!$A$2:$A$26,0),MATCH(AA$26,year_agg_power_data!$B$1:$AJ$1,0))</f>
        <v>#N/A</v>
      </c>
    </row>
    <row r="30" spans="1:29" x14ac:dyDescent="0.3">
      <c r="A30">
        <f>year_agg_power_data!A4</f>
        <v>0</v>
      </c>
      <c r="B30" t="e">
        <f t="shared" si="0"/>
        <v>#VALUE!</v>
      </c>
      <c r="C30" t="e">
        <f>INDEX(year_agg_power_data!$B$2:$AJ$26,MATCH($A30,year_agg_power_data!$A$2:$A$26,0),MATCH(C$26,year_agg_power_data!$B$1:$AJ$1,0))</f>
        <v>#N/A</v>
      </c>
      <c r="D30" t="e">
        <f>INDEX(year_agg_power_data!$B$2:$AJ$26,MATCH($A30,year_agg_power_data!$A$2:$A$26,0),MATCH(D$26,year_agg_power_data!$B$1:$AJ$1,0))</f>
        <v>#N/A</v>
      </c>
      <c r="E30" t="e">
        <f>INDEX(year_agg_power_data!$B$2:$AJ$26,MATCH($A30,year_agg_power_data!$A$2:$A$26,0),MATCH(E$26,year_agg_power_data!$B$1:$AJ$1,0))</f>
        <v>#N/A</v>
      </c>
      <c r="F30" t="e">
        <f>INDEX(year_agg_power_data!$B$2:$AJ$26,MATCH($A30,year_agg_power_data!$A$2:$A$26,0),MATCH(F$26,year_agg_power_data!$B$1:$AJ$1,0))</f>
        <v>#N/A</v>
      </c>
      <c r="G30" t="e">
        <f>INDEX(year_agg_power_data!$B$2:$AJ$26,MATCH($A30,year_agg_power_data!$A$2:$A$26,0),MATCH(G$26,year_agg_power_data!$B$1:$AJ$1,0))</f>
        <v>#N/A</v>
      </c>
      <c r="H30" t="e">
        <f>INDEX(year_agg_power_data!$B$2:$AJ$26,MATCH($A30,year_agg_power_data!$A$2:$A$26,0),MATCH(H$26,year_agg_power_data!$B$1:$AJ$1,0))</f>
        <v>#N/A</v>
      </c>
      <c r="I30" t="e">
        <f>INDEX(year_agg_power_data!$B$2:$AJ$26,MATCH($A30,year_agg_power_data!$A$2:$A$26,0),MATCH(I$26,year_agg_power_data!$B$1:$AJ$1,0))</f>
        <v>#N/A</v>
      </c>
      <c r="J30" t="e">
        <f>INDEX(year_agg_power_data!$B$2:$AJ$26,MATCH($A30,year_agg_power_data!$A$2:$A$26,0),MATCH(J$26,year_agg_power_data!$B$1:$AJ$1,0))</f>
        <v>#N/A</v>
      </c>
      <c r="K30" t="e">
        <f>INDEX(year_agg_power_data!$B$2:$AJ$26,MATCH($A30,year_agg_power_data!$A$2:$A$26,0),MATCH(K$26,year_agg_power_data!$B$1:$AJ$1,0))</f>
        <v>#N/A</v>
      </c>
      <c r="L30" t="e">
        <f>INDEX(year_agg_power_data!$B$2:$AJ$26,MATCH($A30,year_agg_power_data!$A$2:$A$26,0),MATCH(L$26,year_agg_power_data!$B$1:$AJ$1,0))</f>
        <v>#N/A</v>
      </c>
      <c r="M30" t="e">
        <f>INDEX(year_agg_power_data!$B$2:$AJ$26,MATCH($A30,year_agg_power_data!$A$2:$A$26,0),MATCH(M$26,year_agg_power_data!$B$1:$AJ$1,0))</f>
        <v>#N/A</v>
      </c>
      <c r="N30" t="e">
        <f>INDEX(year_agg_power_data!$B$2:$AJ$26,MATCH($A30,year_agg_power_data!$A$2:$A$26,0),MATCH(N$26,year_agg_power_data!$B$1:$AJ$1,0))</f>
        <v>#N/A</v>
      </c>
      <c r="O30" t="e">
        <f>INDEX(year_agg_power_data!$B$2:$AJ$26,MATCH($A30,year_agg_power_data!$A$2:$A$26,0),MATCH(O$26,year_agg_power_data!$B$1:$AJ$1,0))</f>
        <v>#N/A</v>
      </c>
      <c r="P30" t="e">
        <f>INDEX(year_agg_power_data!$B$2:$AJ$26,MATCH($A30,year_agg_power_data!$A$2:$A$26,0),MATCH(P$26,year_agg_power_data!$B$1:$AJ$1,0))</f>
        <v>#N/A</v>
      </c>
      <c r="Q30" t="e">
        <f>INDEX(year_agg_power_data!$B$2:$AJ$26,MATCH($A30,year_agg_power_data!$A$2:$A$26,0),MATCH(Q$26,year_agg_power_data!$B$1:$AJ$1,0))</f>
        <v>#N/A</v>
      </c>
      <c r="R30" t="e">
        <f>INDEX(year_agg_power_data!$B$2:$AJ$26,MATCH($A30,year_agg_power_data!$A$2:$A$26,0),MATCH(R$26,year_agg_power_data!$B$1:$AJ$1,0))</f>
        <v>#N/A</v>
      </c>
      <c r="S30" t="e">
        <f>INDEX(year_agg_power_data!$B$2:$AJ$26,MATCH($A30,year_agg_power_data!$A$2:$A$26,0),MATCH(S$26,year_agg_power_data!$B$1:$AJ$1,0))</f>
        <v>#N/A</v>
      </c>
      <c r="T30" t="e">
        <f>-INDEX(year_agg_power_data!$B$2:$AJ$26,MATCH($A30,year_agg_power_data!$A$2:$A$26,0),MATCH(T$26,year_agg_power_data!$B$1:$AJ$1,0))</f>
        <v>#N/A</v>
      </c>
      <c r="U30" t="e">
        <f>INDEX(year_agg_power_data!$B$2:$AJ$26,MATCH($A30,year_agg_power_data!$A$2:$A$26,0),MATCH(U$26,year_agg_power_data!$B$1:$AJ$1,0))</f>
        <v>#N/A</v>
      </c>
      <c r="V30" t="e">
        <f>INDEX(year_agg_power_data!$B$2:$AJ$26,MATCH($A30,year_agg_power_data!$A$2:$A$26,0),MATCH(W$26,year_agg_power_data!$B$1:$AJ$1,0))+INDEX(year_agg_power_data!$B$2:$AJ$26,MATCH($A30,year_agg_power_data!$A$2:$A$26,0),MATCH(V$26,year_agg_power_data!$B$1:$AJ$1,0))</f>
        <v>#N/A</v>
      </c>
      <c r="W30" t="e">
        <f>INDEX(year_agg_power_data!$B$2:$AJ$26,MATCH($A30,year_agg_power_data!$A$2:$A$26,0),MATCH(W$27,year_agg_power_data!$B$1:$AJ$1,0))</f>
        <v>#N/A</v>
      </c>
      <c r="X30" t="e">
        <f>-INDEX(year_agg_power_data!$B$2:$AJ$26,MATCH($A30,year_agg_power_data!$A$2:$A$26,0),MATCH(X$26,year_agg_power_data!$B$1:$AJ$1,0))</f>
        <v>#N/A</v>
      </c>
      <c r="Y30" t="e">
        <f>INDEX(year_agg_power_data!$B$2:$AJ$26,MATCH($A30,year_agg_power_data!$A$2:$A$26,0),MATCH(Y$26,year_agg_power_data!$B$1:$AJ$1,0))</f>
        <v>#N/A</v>
      </c>
      <c r="Z30" t="e">
        <f>-INDEX(year_agg_power_data!$B$2:$AJ$26,MATCH($A30,year_agg_power_data!$A$2:$A$26,0),MATCH(Z$26,year_agg_power_data!$B$1:$AJ$1,0))</f>
        <v>#N/A</v>
      </c>
      <c r="AA30" t="e">
        <f>INDEX(year_agg_power_data!$B$2:$AJ$26,MATCH($A30,year_agg_power_data!$A$2:$A$26,0),MATCH(AB$26,year_agg_power_data!$B$1:$AJ$1,0))+INDEX(year_agg_power_data!$B$2:$AJ$26,MATCH($A30,year_agg_power_data!$A$2:$A$26,0),MATCH(AC$26,year_agg_power_data!$B$1:$AJ$1,0))+INDEX(year_agg_power_data!$B$2:$AJ$26,MATCH($A30,year_agg_power_data!$A$2:$A$26,0),MATCH(AA$26,year_agg_power_data!$B$1:$AJ$1,0))</f>
        <v>#N/A</v>
      </c>
    </row>
    <row r="31" spans="1:29" x14ac:dyDescent="0.3">
      <c r="A31">
        <f>year_agg_power_data!A5</f>
        <v>0</v>
      </c>
      <c r="B31" t="e">
        <f t="shared" si="0"/>
        <v>#VALUE!</v>
      </c>
      <c r="C31" t="e">
        <f>INDEX(year_agg_power_data!$B$2:$AJ$26,MATCH($A31,year_agg_power_data!$A$2:$A$26,0),MATCH(C$26,year_agg_power_data!$B$1:$AJ$1,0))</f>
        <v>#N/A</v>
      </c>
      <c r="D31" t="e">
        <f>INDEX(year_agg_power_data!$B$2:$AJ$26,MATCH($A31,year_agg_power_data!$A$2:$A$26,0),MATCH(D$26,year_agg_power_data!$B$1:$AJ$1,0))</f>
        <v>#N/A</v>
      </c>
      <c r="E31" s="7" t="e">
        <f>INDEX(year_agg_power_data!$B$2:$AJ$26,MATCH($A31,year_agg_power_data!$A$2:$A$26,0),MATCH(E$26,year_agg_power_data!$B$1:$AJ$1,0))</f>
        <v>#N/A</v>
      </c>
      <c r="F31" t="e">
        <f>INDEX(year_agg_power_data!$B$2:$AJ$26,MATCH($A31,year_agg_power_data!$A$2:$A$26,0),MATCH(F$26,year_agg_power_data!$B$1:$AJ$1,0))</f>
        <v>#N/A</v>
      </c>
      <c r="G31" t="e">
        <f>INDEX(year_agg_power_data!$B$2:$AJ$26,MATCH($A31,year_agg_power_data!$A$2:$A$26,0),MATCH(G$26,year_agg_power_data!$B$1:$AJ$1,0))</f>
        <v>#N/A</v>
      </c>
      <c r="H31" t="e">
        <f>INDEX(year_agg_power_data!$B$2:$AJ$26,MATCH($A31,year_agg_power_data!$A$2:$A$26,0),MATCH(H$26,year_agg_power_data!$B$1:$AJ$1,0))</f>
        <v>#N/A</v>
      </c>
      <c r="I31" t="e">
        <f>INDEX(year_agg_power_data!$B$2:$AJ$26,MATCH($A31,year_agg_power_data!$A$2:$A$26,0),MATCH(I$26,year_agg_power_data!$B$1:$AJ$1,0))</f>
        <v>#N/A</v>
      </c>
      <c r="J31" t="e">
        <f>INDEX(year_agg_power_data!$B$2:$AJ$26,MATCH($A31,year_agg_power_data!$A$2:$A$26,0),MATCH(J$26,year_agg_power_data!$B$1:$AJ$1,0))</f>
        <v>#N/A</v>
      </c>
      <c r="K31" t="e">
        <f>INDEX(year_agg_power_data!$B$2:$AJ$26,MATCH($A31,year_agg_power_data!$A$2:$A$26,0),MATCH(K$26,year_agg_power_data!$B$1:$AJ$1,0))</f>
        <v>#N/A</v>
      </c>
      <c r="L31" t="e">
        <f>INDEX(year_agg_power_data!$B$2:$AJ$26,MATCH($A31,year_agg_power_data!$A$2:$A$26,0),MATCH(L$26,year_agg_power_data!$B$1:$AJ$1,0))</f>
        <v>#N/A</v>
      </c>
      <c r="M31" t="e">
        <f>INDEX(year_agg_power_data!$B$2:$AJ$26,MATCH($A31,year_agg_power_data!$A$2:$A$26,0),MATCH(M$26,year_agg_power_data!$B$1:$AJ$1,0))</f>
        <v>#N/A</v>
      </c>
      <c r="N31" t="e">
        <f>INDEX(year_agg_power_data!$B$2:$AJ$26,MATCH($A31,year_agg_power_data!$A$2:$A$26,0),MATCH(N$26,year_agg_power_data!$B$1:$AJ$1,0))</f>
        <v>#N/A</v>
      </c>
      <c r="O31" t="e">
        <f>INDEX(year_agg_power_data!$B$2:$AJ$26,MATCH($A31,year_agg_power_data!$A$2:$A$26,0),MATCH(O$26,year_agg_power_data!$B$1:$AJ$1,0))</f>
        <v>#N/A</v>
      </c>
      <c r="P31" t="e">
        <f>INDEX(year_agg_power_data!$B$2:$AJ$26,MATCH($A31,year_agg_power_data!$A$2:$A$26,0),MATCH(P$26,year_agg_power_data!$B$1:$AJ$1,0))</f>
        <v>#N/A</v>
      </c>
      <c r="Q31" t="e">
        <f>INDEX(year_agg_power_data!$B$2:$AJ$26,MATCH($A31,year_agg_power_data!$A$2:$A$26,0),MATCH(Q$26,year_agg_power_data!$B$1:$AJ$1,0))</f>
        <v>#N/A</v>
      </c>
      <c r="R31" t="e">
        <f>INDEX(year_agg_power_data!$B$2:$AJ$26,MATCH($A31,year_agg_power_data!$A$2:$A$26,0),MATCH(R$26,year_agg_power_data!$B$1:$AJ$1,0))</f>
        <v>#N/A</v>
      </c>
      <c r="S31" t="e">
        <f>INDEX(year_agg_power_data!$B$2:$AJ$26,MATCH($A31,year_agg_power_data!$A$2:$A$26,0),MATCH(S$26,year_agg_power_data!$B$1:$AJ$1,0))</f>
        <v>#N/A</v>
      </c>
      <c r="T31" t="e">
        <f>-INDEX(year_agg_power_data!$B$2:$AJ$26,MATCH($A31,year_agg_power_data!$A$2:$A$26,0),MATCH(T$26,year_agg_power_data!$B$1:$AJ$1,0))</f>
        <v>#N/A</v>
      </c>
      <c r="U31" t="e">
        <f>INDEX(year_agg_power_data!$B$2:$AJ$26,MATCH($A31,year_agg_power_data!$A$2:$A$26,0),MATCH(U$26,year_agg_power_data!$B$1:$AJ$1,0))</f>
        <v>#N/A</v>
      </c>
      <c r="V31" t="e">
        <f>INDEX(year_agg_power_data!$B$2:$AJ$26,MATCH($A31,year_agg_power_data!$A$2:$A$26,0),MATCH(W$26,year_agg_power_data!$B$1:$AJ$1,0))+INDEX(year_agg_power_data!$B$2:$AJ$26,MATCH($A31,year_agg_power_data!$A$2:$A$26,0),MATCH(V$26,year_agg_power_data!$B$1:$AJ$1,0))</f>
        <v>#N/A</v>
      </c>
      <c r="W31" t="e">
        <f>INDEX(year_agg_power_data!$B$2:$AJ$26,MATCH($A31,year_agg_power_data!$A$2:$A$26,0),MATCH(W$27,year_agg_power_data!$B$1:$AJ$1,0))</f>
        <v>#N/A</v>
      </c>
      <c r="X31" t="e">
        <f>-INDEX(year_agg_power_data!$B$2:$AJ$26,MATCH($A31,year_agg_power_data!$A$2:$A$26,0),MATCH(X$26,year_agg_power_data!$B$1:$AJ$1,0))</f>
        <v>#N/A</v>
      </c>
      <c r="Y31" t="e">
        <f>INDEX(year_agg_power_data!$B$2:$AJ$26,MATCH($A31,year_agg_power_data!$A$2:$A$26,0),MATCH(Y$26,year_agg_power_data!$B$1:$AJ$1,0))</f>
        <v>#N/A</v>
      </c>
      <c r="Z31" t="e">
        <f>-INDEX(year_agg_power_data!$B$2:$AJ$26,MATCH($A31,year_agg_power_data!$A$2:$A$26,0),MATCH(Z$26,year_agg_power_data!$B$1:$AJ$1,0))</f>
        <v>#N/A</v>
      </c>
      <c r="AA31" t="e">
        <f>INDEX(year_agg_power_data!$B$2:$AJ$26,MATCH($A31,year_agg_power_data!$A$2:$A$26,0),MATCH(AB$26,year_agg_power_data!$B$1:$AJ$1,0))+INDEX(year_agg_power_data!$B$2:$AJ$26,MATCH($A31,year_agg_power_data!$A$2:$A$26,0),MATCH(AC$26,year_agg_power_data!$B$1:$AJ$1,0))+INDEX(year_agg_power_data!$B$2:$AJ$26,MATCH($A31,year_agg_power_data!$A$2:$A$26,0),MATCH(AA$26,year_agg_power_data!$B$1:$AJ$1,0))</f>
        <v>#N/A</v>
      </c>
    </row>
    <row r="34" spans="1:26" x14ac:dyDescent="0.3">
      <c r="B34" t="s">
        <v>45</v>
      </c>
      <c r="C34">
        <f>A28</f>
        <v>0</v>
      </c>
    </row>
    <row r="35" spans="1:26" x14ac:dyDescent="0.3">
      <c r="A35" s="1"/>
      <c r="B35" s="13" t="s">
        <v>24</v>
      </c>
      <c r="C35" s="2" t="str">
        <f t="shared" ref="C35:T35" si="1">C26</f>
        <v>H..ROR</v>
      </c>
      <c r="D35" s="2" t="str">
        <f t="shared" si="1"/>
        <v>WIND.OFFSHORE</v>
      </c>
      <c r="E35" s="2" t="str">
        <f t="shared" si="1"/>
        <v>WIND.ONSHORE</v>
      </c>
      <c r="F35" s="2" t="str">
        <f t="shared" si="1"/>
        <v>SOLAR.CONCRT.</v>
      </c>
      <c r="G35" s="2" t="str">
        <f t="shared" si="1"/>
        <v>SOLAR.PV</v>
      </c>
      <c r="H35" s="2" t="str">
        <f t="shared" si="1"/>
        <v>NUCLEAR</v>
      </c>
      <c r="I35" s="2" t="str">
        <f t="shared" si="1"/>
        <v>CCGT_production</v>
      </c>
      <c r="J35" s="2" t="str">
        <f t="shared" si="1"/>
        <v>OCGT_production</v>
      </c>
      <c r="K35" s="2" t="str">
        <f t="shared" si="1"/>
        <v>Conventional_production</v>
      </c>
      <c r="L35" s="2" t="str">
        <f t="shared" si="1"/>
        <v>dsr</v>
      </c>
      <c r="M35" s="2" t="str">
        <f t="shared" si="1"/>
        <v>h2_cluster</v>
      </c>
      <c r="N35" s="2" t="str">
        <f t="shared" si="1"/>
        <v>battery_turb</v>
      </c>
      <c r="O35" s="13" t="str">
        <f t="shared" si="1"/>
        <v>othernonres</v>
      </c>
      <c r="P35" s="13" t="str">
        <f t="shared" si="1"/>
        <v>COAL</v>
      </c>
      <c r="Q35" s="13" t="str">
        <f t="shared" si="1"/>
        <v>OIL</v>
      </c>
      <c r="R35" s="13" t="str">
        <f t="shared" si="1"/>
        <v>LIGNITE</v>
      </c>
      <c r="S35" s="13" t="str">
        <f t="shared" si="1"/>
        <v>UNSP..ENRG</v>
      </c>
      <c r="T35" s="13" t="str">
        <f t="shared" si="1"/>
        <v>SPIL..ENRG</v>
      </c>
    </row>
    <row r="36" spans="1:26" x14ac:dyDescent="0.3">
      <c r="A36" s="9" t="s">
        <v>0</v>
      </c>
      <c r="B36" s="12" t="s">
        <v>23</v>
      </c>
      <c r="C36" s="11" t="str">
        <f t="shared" ref="C36:M36" si="2">C27</f>
        <v>Run-of-river hydro</v>
      </c>
      <c r="D36" s="11" t="str">
        <f t="shared" si="2"/>
        <v>Offshore wind</v>
      </c>
      <c r="E36" s="11" t="str">
        <f t="shared" si="2"/>
        <v>Onshore wind</v>
      </c>
      <c r="F36" s="11" t="str">
        <f t="shared" si="2"/>
        <v>Concentration solar</v>
      </c>
      <c r="G36" s="11" t="str">
        <f t="shared" si="2"/>
        <v>PV</v>
      </c>
      <c r="H36" s="11" t="str">
        <f t="shared" si="2"/>
        <v>Nuclear</v>
      </c>
      <c r="I36" s="11" t="str">
        <f t="shared" si="2"/>
        <v>Methane - CCGT</v>
      </c>
      <c r="J36" s="11" t="str">
        <f t="shared" si="2"/>
        <v>Methane - OCGT</v>
      </c>
      <c r="K36" s="11" t="str">
        <f t="shared" si="2"/>
        <v>Methane - conventional</v>
      </c>
      <c r="L36" s="11" t="str">
        <f t="shared" si="2"/>
        <v>DSR</v>
      </c>
      <c r="M36" s="11" t="str">
        <f t="shared" si="2"/>
        <v>Hydrogen - CCGT</v>
      </c>
      <c r="N36" s="11" t="s">
        <v>64</v>
      </c>
      <c r="O36" s="12" t="str">
        <f>O27</f>
        <v>Other non-RES</v>
      </c>
      <c r="P36" s="12" t="s">
        <v>63</v>
      </c>
      <c r="Q36" s="12" t="str">
        <f>Q27</f>
        <v>Oil</v>
      </c>
      <c r="R36" s="12" t="str">
        <f>R27</f>
        <v>Lignite</v>
      </c>
      <c r="S36" s="12" t="str">
        <f>S27</f>
        <v>Unsupplied energy</v>
      </c>
      <c r="T36" s="12" t="str">
        <f>T27</f>
        <v>Spilled energy</v>
      </c>
    </row>
    <row r="37" spans="1:26" x14ac:dyDescent="0.3">
      <c r="A37" s="14"/>
      <c r="B37" s="1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4"/>
      <c r="P37" s="4"/>
      <c r="Q37" s="4"/>
      <c r="R37" s="4"/>
      <c r="S37" s="4"/>
      <c r="T37" s="4"/>
    </row>
    <row r="38" spans="1:26" x14ac:dyDescent="0.3">
      <c r="A38" s="15"/>
      <c r="B38" s="8">
        <v>1</v>
      </c>
      <c r="C38" s="5" t="e">
        <f t="shared" ref="C38:G40" si="3">C29-C$28</f>
        <v>#N/A</v>
      </c>
      <c r="D38" s="5" t="e">
        <f t="shared" si="3"/>
        <v>#N/A</v>
      </c>
      <c r="E38" s="5" t="e">
        <f t="shared" si="3"/>
        <v>#N/A</v>
      </c>
      <c r="F38" s="5" t="e">
        <f t="shared" si="3"/>
        <v>#N/A</v>
      </c>
      <c r="G38" s="5" t="e">
        <f t="shared" si="3"/>
        <v>#N/A</v>
      </c>
      <c r="H38" s="5" t="e">
        <f t="shared" ref="H38:T38" si="4">H29-H28</f>
        <v>#N/A</v>
      </c>
      <c r="I38" s="5" t="e">
        <f t="shared" si="4"/>
        <v>#N/A</v>
      </c>
      <c r="J38" s="5" t="e">
        <f t="shared" si="4"/>
        <v>#N/A</v>
      </c>
      <c r="K38" s="5" t="e">
        <f t="shared" si="4"/>
        <v>#N/A</v>
      </c>
      <c r="L38" s="5" t="e">
        <f t="shared" si="4"/>
        <v>#N/A</v>
      </c>
      <c r="M38" s="5" t="e">
        <f t="shared" si="4"/>
        <v>#N/A</v>
      </c>
      <c r="N38" s="5" t="e">
        <f t="shared" si="4"/>
        <v>#N/A</v>
      </c>
      <c r="O38" s="5" t="e">
        <f t="shared" si="4"/>
        <v>#N/A</v>
      </c>
      <c r="P38" s="5" t="e">
        <f t="shared" si="4"/>
        <v>#N/A</v>
      </c>
      <c r="Q38" s="5" t="e">
        <f t="shared" si="4"/>
        <v>#N/A</v>
      </c>
      <c r="R38" s="5" t="e">
        <f t="shared" si="4"/>
        <v>#N/A</v>
      </c>
      <c r="S38" s="5" t="e">
        <f t="shared" si="4"/>
        <v>#N/A</v>
      </c>
      <c r="T38" s="5" t="e">
        <f t="shared" si="4"/>
        <v>#N/A</v>
      </c>
    </row>
    <row r="39" spans="1:26" x14ac:dyDescent="0.3">
      <c r="A39" s="15"/>
      <c r="B39" s="8">
        <v>2</v>
      </c>
      <c r="C39" s="5" t="e">
        <f t="shared" si="3"/>
        <v>#N/A</v>
      </c>
      <c r="D39" s="5" t="e">
        <f t="shared" si="3"/>
        <v>#N/A</v>
      </c>
      <c r="E39" s="5" t="e">
        <f t="shared" si="3"/>
        <v>#N/A</v>
      </c>
      <c r="F39" s="5" t="e">
        <f t="shared" si="3"/>
        <v>#N/A</v>
      </c>
      <c r="G39" s="5" t="e">
        <f t="shared" si="3"/>
        <v>#N/A</v>
      </c>
      <c r="H39" s="5" t="e">
        <f t="shared" ref="H39:T39" si="5">H30-H29</f>
        <v>#N/A</v>
      </c>
      <c r="I39" s="5" t="e">
        <f t="shared" si="5"/>
        <v>#N/A</v>
      </c>
      <c r="J39" s="5" t="e">
        <f t="shared" si="5"/>
        <v>#N/A</v>
      </c>
      <c r="K39" s="5" t="e">
        <f t="shared" si="5"/>
        <v>#N/A</v>
      </c>
      <c r="L39" s="5" t="e">
        <f t="shared" si="5"/>
        <v>#N/A</v>
      </c>
      <c r="M39" s="5" t="e">
        <f t="shared" si="5"/>
        <v>#N/A</v>
      </c>
      <c r="N39" s="5" t="e">
        <f t="shared" si="5"/>
        <v>#N/A</v>
      </c>
      <c r="O39" s="5" t="e">
        <f t="shared" si="5"/>
        <v>#N/A</v>
      </c>
      <c r="P39" s="5" t="e">
        <f t="shared" si="5"/>
        <v>#N/A</v>
      </c>
      <c r="Q39" s="5" t="e">
        <f t="shared" si="5"/>
        <v>#N/A</v>
      </c>
      <c r="R39" s="5" t="e">
        <f t="shared" si="5"/>
        <v>#N/A</v>
      </c>
      <c r="S39" s="5" t="e">
        <f t="shared" si="5"/>
        <v>#N/A</v>
      </c>
      <c r="T39" s="5" t="e">
        <f t="shared" si="5"/>
        <v>#N/A</v>
      </c>
      <c r="U39" s="5"/>
      <c r="V39" s="5"/>
      <c r="Z39" s="5"/>
    </row>
    <row r="40" spans="1:26" x14ac:dyDescent="0.3">
      <c r="A40" s="16"/>
      <c r="B40" s="8">
        <v>3</v>
      </c>
      <c r="C40" s="5" t="e">
        <f t="shared" si="3"/>
        <v>#N/A</v>
      </c>
      <c r="D40" s="5" t="e">
        <f t="shared" si="3"/>
        <v>#N/A</v>
      </c>
      <c r="E40" s="5" t="e">
        <f t="shared" si="3"/>
        <v>#N/A</v>
      </c>
      <c r="F40" s="5" t="e">
        <f t="shared" si="3"/>
        <v>#N/A</v>
      </c>
      <c r="G40" s="5" t="e">
        <f t="shared" si="3"/>
        <v>#N/A</v>
      </c>
      <c r="H40" s="5" t="e">
        <f t="shared" ref="H40:T40" si="6">H31-H30</f>
        <v>#N/A</v>
      </c>
      <c r="I40" s="5" t="e">
        <f t="shared" si="6"/>
        <v>#N/A</v>
      </c>
      <c r="J40" s="5" t="e">
        <f t="shared" si="6"/>
        <v>#N/A</v>
      </c>
      <c r="K40" s="5" t="e">
        <f t="shared" si="6"/>
        <v>#N/A</v>
      </c>
      <c r="L40" s="5" t="e">
        <f t="shared" si="6"/>
        <v>#N/A</v>
      </c>
      <c r="M40" s="5" t="e">
        <f t="shared" si="6"/>
        <v>#N/A</v>
      </c>
      <c r="N40" s="5" t="e">
        <f t="shared" si="6"/>
        <v>#N/A</v>
      </c>
      <c r="O40" s="5" t="e">
        <f t="shared" si="6"/>
        <v>#N/A</v>
      </c>
      <c r="P40" s="5" t="e">
        <f t="shared" si="6"/>
        <v>#N/A</v>
      </c>
      <c r="Q40" s="5" t="e">
        <f t="shared" si="6"/>
        <v>#N/A</v>
      </c>
      <c r="R40" s="5" t="e">
        <f t="shared" si="6"/>
        <v>#N/A</v>
      </c>
      <c r="S40" s="5" t="e">
        <f t="shared" si="6"/>
        <v>#N/A</v>
      </c>
      <c r="T40" s="5" t="e">
        <f t="shared" si="6"/>
        <v>#N/A</v>
      </c>
    </row>
    <row r="50" spans="12:12" x14ac:dyDescent="0.3">
      <c r="L50" s="6"/>
    </row>
  </sheetData>
  <mergeCells count="1">
    <mergeCell ref="A37:A40"/>
  </mergeCells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D5" sqref="A1:AJ9"/>
    </sheetView>
  </sheetViews>
  <sheetFormatPr baseColWidth="10" defaultRowHeight="14.4" x14ac:dyDescent="0.3"/>
  <sheetData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F17" sqref="A1:AL297"/>
    </sheetView>
  </sheetViews>
  <sheetFormatPr baseColWidth="10" defaultRowHeight="14.4" x14ac:dyDescent="0.3"/>
  <sheetData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F11" sqref="A1:XFD1048576"/>
    </sheetView>
  </sheetViews>
  <sheetFormatPr baseColWidth="10" defaultRowHeight="14.4" x14ac:dyDescent="0.3"/>
  <sheetData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>
      <selection activeCell="I15" sqref="I15"/>
    </sheetView>
  </sheetViews>
  <sheetFormatPr baseColWidth="10" defaultRowHeight="14.4" x14ac:dyDescent="0.3"/>
  <sheetData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Fig. 2a</vt:lpstr>
      <vt:lpstr>Fig 3.a</vt:lpstr>
      <vt:lpstr>year_agg_power_data</vt:lpstr>
      <vt:lpstr>year_area_power_data</vt:lpstr>
      <vt:lpstr>year_agg_h2_data</vt:lpstr>
      <vt:lpstr>year_area_h2_data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GUILLOTIN Arnauld</dc:creator>
  <cp:lastModifiedBy>GUILLOTIN Arnauld</cp:lastModifiedBy>
  <dcterms:created xsi:type="dcterms:W3CDTF">2015-06-05T18:19:34Z</dcterms:created>
  <dcterms:modified xsi:type="dcterms:W3CDTF">2026-04-27T14:34:37Z</dcterms:modified>
</cp:coreProperties>
</file>